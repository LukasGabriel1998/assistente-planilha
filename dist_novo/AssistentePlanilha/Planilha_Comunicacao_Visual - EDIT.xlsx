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DEV - PROJETOS\assistente-planilha-1\dist_novo\AssistentePlanilha\"/>
    </mc:Choice>
  </mc:AlternateContent>
  <xr:revisionPtr revIDLastSave="0" documentId="13_ncr:1_{082388E6-A9CD-4DC9-8917-631F8D3CC7A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TOTAL DE VENDAS DE 2026" sheetId="1" r:id="rId1"/>
    <sheet name="Compras Matéria-Prima" sheetId="2" r:id="rId2"/>
    <sheet name="Gastos Fixos" sheetId="3" r:id="rId3"/>
    <sheet name="Lucro Mensal e Anual" sheetId="4" r:id="rId4"/>
    <sheet name="_tmpl_vendas" sheetId="6" state="veryHidden" r:id="rId5"/>
    <sheet name="_tmpl_material" sheetId="7" state="veryHidden" r:id="rId6"/>
    <sheet name="_tmpl_fixos" sheetId="8" state="veryHidden" r:id="rId7"/>
  </sheets>
  <definedNames>
    <definedName name="_xlnm._FilterDatabase" localSheetId="1" hidden="1">'Compras Matéria-Prima'!$A$2:$E$44</definedName>
    <definedName name="_xlnm._FilterDatabase" localSheetId="2" hidden="1">'Gastos Fixos'!$A$2:$C$136</definedName>
    <definedName name="_xlnm._FilterDatabase" localSheetId="3" hidden="1">'Lucro Mensal e Anual'!$A$2:$F$2</definedName>
    <definedName name="_xlnm._FilterDatabase" localSheetId="0" hidden="1">'TOTAL DE VENDAS DE 2026'!$A$2:$H$2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8" l="1"/>
  <c r="G2" i="7"/>
  <c r="I2" i="6" a="1"/>
  <c r="I2" i="6" s="1"/>
  <c r="E2" i="3"/>
  <c r="E3" i="4" s="1"/>
  <c r="J8" i="1"/>
  <c r="C3" i="4" s="1"/>
  <c r="J5" i="1"/>
  <c r="B3" i="4" s="1"/>
  <c r="J2" i="1" a="1"/>
  <c r="J2" i="1" s="1"/>
  <c r="A3" i="4" s="1"/>
  <c r="G2" i="2"/>
  <c r="D3" i="4" s="1"/>
  <c r="F3" i="4" l="1"/>
</calcChain>
</file>

<file path=xl/sharedStrings.xml><?xml version="1.0" encoding="utf-8"?>
<sst xmlns="http://schemas.openxmlformats.org/spreadsheetml/2006/main" count="62" uniqueCount="35">
  <si>
    <t>TOTAL DE COMPRAS DE MATÉRIA PRIMA 2026</t>
  </si>
  <si>
    <t>Total do Ano</t>
  </si>
  <si>
    <t>Data</t>
  </si>
  <si>
    <t>Fornecedor</t>
  </si>
  <si>
    <t>Descrição</t>
  </si>
  <si>
    <t>ID VENDA</t>
  </si>
  <si>
    <t xml:space="preserve">Valor </t>
  </si>
  <si>
    <t>14/03/2026</t>
  </si>
  <si>
    <t>Fachada</t>
  </si>
  <si>
    <t>002</t>
  </si>
  <si>
    <t>TOTAL DE VENDAS DE 2026</t>
  </si>
  <si>
    <t>Total das Vendas</t>
  </si>
  <si>
    <t>Data de venda</t>
  </si>
  <si>
    <t>Data de Entrega</t>
  </si>
  <si>
    <t>Cliente</t>
  </si>
  <si>
    <t>ID produto</t>
  </si>
  <si>
    <t>Total de vendas (pago)</t>
  </si>
  <si>
    <t>Valor (pendente)</t>
  </si>
  <si>
    <t xml:space="preserve"> Status de valor</t>
  </si>
  <si>
    <t>Status</t>
  </si>
  <si>
    <t>total de vendas (pago)</t>
  </si>
  <si>
    <t>FOET</t>
  </si>
  <si>
    <t>FAXA</t>
  </si>
  <si>
    <t>001</t>
  </si>
  <si>
    <t>pago</t>
  </si>
  <si>
    <t>TOTAL DE GASTOS FIXOS</t>
  </si>
  <si>
    <t xml:space="preserve">DATA </t>
  </si>
  <si>
    <t>GASTOS FIXO</t>
  </si>
  <si>
    <t>Valor da Venda</t>
  </si>
  <si>
    <t>TOTAL DOS LUCROS MENSAIS E ANUAIS</t>
  </si>
  <si>
    <t>Total Vendas</t>
  </si>
  <si>
    <t>Total Compras Materia Prima</t>
  </si>
  <si>
    <t>Gastos Fixos</t>
  </si>
  <si>
    <t>Lucro</t>
  </si>
  <si>
    <t>ID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</si>
</sst>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0"/>
      <name val="Arial"/>
      <family val="2"/>
    </font>
    <font>
      <sz val="11"/>
      <color theme="1"/>
      <name val="Arial"/>
      <family val="2"/>
    </font>
    <font>
      <b/>
      <sz val="14"/>
      <color theme="0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00B050"/>
      <name val="Arial"/>
      <family val="2"/>
    </font>
    <font>
      <b/>
      <sz val="12"/>
      <color theme="0"/>
      <name val="Arial"/>
      <family val="2"/>
    </font>
    <font>
      <b/>
      <sz val="12"/>
      <color rgb="FF00B050"/>
      <name val="Arial"/>
      <family val="2"/>
    </font>
    <font>
      <b/>
      <sz val="18"/>
      <color theme="0"/>
      <name val="Arial"/>
      <family val="2"/>
    </font>
    <font>
      <b/>
      <sz val="20"/>
      <color theme="0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7DEE8"/>
      </patternFill>
    </fill>
    <fill>
      <patternFill patternType="solid">
        <fgColor rgb="FF002060"/>
        <bgColor indexed="64"/>
      </patternFill>
    </fill>
    <fill>
      <patternFill patternType="solid">
        <fgColor theme="3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/>
  </cellStyleXfs>
  <cellXfs count="31">
    <xf numFmtId="0" fontId="0" fillId="0" borderId="0" xfId="0"/>
    <xf numFmtId="0" fontId="4" fillId="0" borderId="0" xfId="0" applyFont="1"/>
    <xf numFmtId="0" fontId="5" fillId="3" borderId="0" xfId="0" applyFont="1" applyFill="1" applyAlignment="1">
      <alignment horizontal="center" vertical="center"/>
    </xf>
    <xf numFmtId="0" fontId="6" fillId="2" borderId="0" xfId="0" applyFont="1" applyFill="1"/>
    <xf numFmtId="164" fontId="4" fillId="0" borderId="1" xfId="1" applyNumberFormat="1" applyFont="1" applyBorder="1"/>
    <xf numFmtId="164" fontId="7" fillId="0" borderId="1" xfId="0" applyNumberFormat="1" applyFont="1" applyBorder="1"/>
    <xf numFmtId="0" fontId="6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2" fillId="0" borderId="0" xfId="0" applyFont="1"/>
    <xf numFmtId="0" fontId="10" fillId="4" borderId="0" xfId="0" applyFont="1" applyFill="1"/>
    <xf numFmtId="14" fontId="4" fillId="0" borderId="1" xfId="0" applyNumberFormat="1" applyFont="1" applyBorder="1"/>
    <xf numFmtId="0" fontId="4" fillId="0" borderId="1" xfId="0" applyFont="1" applyBorder="1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8" fontId="7" fillId="0" borderId="1" xfId="0" applyNumberFormat="1" applyFont="1" applyBorder="1"/>
    <xf numFmtId="44" fontId="1" fillId="0" borderId="1" xfId="1" applyBorder="1"/>
    <xf numFmtId="44" fontId="14" fillId="0" borderId="1" xfId="1" applyFont="1" applyBorder="1"/>
    <xf numFmtId="44" fontId="7" fillId="0" borderId="1" xfId="0" applyNumberFormat="1" applyFont="1" applyBorder="1"/>
    <xf numFmtId="44" fontId="7" fillId="0" borderId="1" xfId="1" applyFont="1" applyBorder="1"/>
    <xf numFmtId="8" fontId="7" fillId="0" borderId="1" xfId="1" applyNumberFormat="1" applyFont="1" applyBorder="1"/>
    <xf numFmtId="8" fontId="11" fillId="0" borderId="1" xfId="1" applyNumberFormat="1" applyFont="1" applyBorder="1"/>
    <xf numFmtId="0" fontId="12" fillId="3" borderId="0" xfId="0" applyFont="1" applyFill="1" applyAlignment="1">
      <alignment horizontal="center"/>
    </xf>
    <xf numFmtId="0" fontId="0" fillId="0" borderId="0" xfId="0"/>
    <xf numFmtId="0" fontId="13" fillId="3" borderId="2" xfId="0" applyFont="1" applyFill="1" applyBorder="1" applyAlignment="1">
      <alignment horizontal="center"/>
    </xf>
    <xf numFmtId="0" fontId="0" fillId="0" borderId="3" xfId="0" applyBorder="1"/>
    <xf numFmtId="0" fontId="0" fillId="0" borderId="2" xfId="0" applyBorder="1"/>
    <xf numFmtId="0" fontId="3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78"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48576"/>
  <sheetViews>
    <sheetView zoomScale="85" zoomScaleNormal="85" workbookViewId="0">
      <selection activeCell="G24" sqref="G24"/>
    </sheetView>
  </sheetViews>
  <sheetFormatPr defaultRowHeight="15" x14ac:dyDescent="0.25"/>
  <cols>
    <col min="1" max="1" width="17.28515625" style="13" bestFit="1" customWidth="1"/>
    <col min="2" max="2" width="19.140625" style="16" bestFit="1" customWidth="1"/>
    <col min="3" max="3" width="29" style="13" customWidth="1"/>
    <col min="4" max="4" width="30.7109375" style="13" customWidth="1"/>
    <col min="5" max="5" width="30.7109375" style="18" customWidth="1"/>
    <col min="6" max="6" width="30.7109375" style="19" customWidth="1"/>
    <col min="7" max="7" width="19.28515625" style="13" customWidth="1"/>
    <col min="8" max="8" width="19" style="13" bestFit="1" customWidth="1"/>
    <col min="9" max="9" width="12.42578125" bestFit="1" customWidth="1"/>
    <col min="10" max="10" width="31.28515625" bestFit="1" customWidth="1"/>
    <col min="11" max="11" width="13.140625" bestFit="1" customWidth="1"/>
    <col min="14" max="14" width="9.140625" customWidth="1"/>
  </cols>
  <sheetData>
    <row r="1" spans="1:10" ht="26.25" customHeight="1" x14ac:dyDescent="0.4">
      <c r="A1" s="26" t="s">
        <v>10</v>
      </c>
      <c r="B1" s="27"/>
      <c r="C1" s="27"/>
      <c r="D1" s="27"/>
      <c r="E1" s="27"/>
      <c r="F1" s="27"/>
      <c r="G1" s="27"/>
      <c r="H1" s="28"/>
      <c r="I1" s="1"/>
      <c r="J1" s="2" t="s">
        <v>11</v>
      </c>
    </row>
    <row r="2" spans="1:10" x14ac:dyDescent="0.25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5</v>
      </c>
      <c r="H2" s="3" t="s">
        <v>18</v>
      </c>
      <c r="I2" s="1" t="s">
        <v>19</v>
      </c>
      <c r="J2" s="5">
        <f t="array" ref="J2">SUM(E3:E1048575+F3:F1048575)</f>
        <v>0</v>
      </c>
    </row>
    <row r="3" spans="1:10" x14ac:dyDescent="0.25">
      <c r="I3" s="15"/>
      <c r="J3" s="15"/>
    </row>
    <row r="4" spans="1:10" ht="18" customHeight="1" x14ac:dyDescent="0.25">
      <c r="I4" s="15"/>
      <c r="J4" s="2" t="s">
        <v>20</v>
      </c>
    </row>
    <row r="5" spans="1:10" x14ac:dyDescent="0.25">
      <c r="I5" s="15"/>
      <c r="J5" s="5">
        <f>SUM(E3:E1048575)</f>
        <v>0</v>
      </c>
    </row>
    <row r="6" spans="1:10" x14ac:dyDescent="0.25">
      <c r="I6" s="15"/>
      <c r="J6" s="1"/>
    </row>
    <row r="7" spans="1:10" ht="18" customHeight="1" x14ac:dyDescent="0.25">
      <c r="I7" s="15"/>
      <c r="J7" s="2" t="s">
        <v>17</v>
      </c>
    </row>
    <row r="8" spans="1:10" x14ac:dyDescent="0.25">
      <c r="I8" s="15"/>
      <c r="J8" s="5">
        <f>SUM(F3:F1048575)</f>
        <v>0</v>
      </c>
    </row>
    <row r="9" spans="1:10" x14ac:dyDescent="0.25">
      <c r="I9" s="1"/>
      <c r="J9" s="1"/>
    </row>
    <row r="10" spans="1:10" x14ac:dyDescent="0.25">
      <c r="I10" s="1"/>
      <c r="J10" s="1"/>
    </row>
    <row r="11" spans="1:10" x14ac:dyDescent="0.25">
      <c r="I11" s="1"/>
      <c r="J11" s="1"/>
    </row>
    <row r="12" spans="1:10" x14ac:dyDescent="0.25">
      <c r="I12" s="1"/>
      <c r="J12" s="1"/>
    </row>
    <row r="13" spans="1:10" x14ac:dyDescent="0.25">
      <c r="I13" s="1"/>
      <c r="J13" s="1"/>
    </row>
    <row r="14" spans="1:10" x14ac:dyDescent="0.25">
      <c r="I14" s="1"/>
      <c r="J14" s="1"/>
    </row>
    <row r="15" spans="1:10" x14ac:dyDescent="0.25">
      <c r="I15" s="1"/>
      <c r="J15" s="1"/>
    </row>
    <row r="16" spans="1:10" x14ac:dyDescent="0.25">
      <c r="I16" s="1"/>
      <c r="J16" s="1"/>
    </row>
    <row r="17" spans="9:10" x14ac:dyDescent="0.25">
      <c r="I17" s="1"/>
      <c r="J17" s="1"/>
    </row>
    <row r="18" spans="9:10" x14ac:dyDescent="0.25">
      <c r="I18" s="1"/>
      <c r="J18" s="1"/>
    </row>
    <row r="19" spans="9:10" x14ac:dyDescent="0.25">
      <c r="I19" s="1"/>
      <c r="J19" s="1"/>
    </row>
    <row r="20" spans="9:10" x14ac:dyDescent="0.25">
      <c r="I20" s="1"/>
      <c r="J20" s="1"/>
    </row>
    <row r="21" spans="9:10" x14ac:dyDescent="0.25">
      <c r="I21" s="1"/>
      <c r="J21" s="1"/>
    </row>
    <row r="22" spans="9:10" x14ac:dyDescent="0.25">
      <c r="I22" s="1"/>
      <c r="J22" s="1"/>
    </row>
    <row r="23" spans="9:10" x14ac:dyDescent="0.25">
      <c r="I23" s="1"/>
      <c r="J23" s="1"/>
    </row>
    <row r="24" spans="9:10" x14ac:dyDescent="0.25">
      <c r="I24" s="1"/>
      <c r="J24" s="1"/>
    </row>
    <row r="25" spans="9:10" x14ac:dyDescent="0.25">
      <c r="I25" s="1"/>
      <c r="J25" s="1"/>
    </row>
    <row r="26" spans="9:10" x14ac:dyDescent="0.25">
      <c r="I26" s="1"/>
      <c r="J26" s="1"/>
    </row>
    <row r="27" spans="9:10" x14ac:dyDescent="0.25">
      <c r="I27" s="1"/>
      <c r="J27" s="1"/>
    </row>
    <row r="28" spans="9:10" x14ac:dyDescent="0.25">
      <c r="I28" s="1"/>
      <c r="J28" s="1"/>
    </row>
    <row r="29" spans="9:10" x14ac:dyDescent="0.25">
      <c r="I29" s="1"/>
      <c r="J29" s="1"/>
    </row>
    <row r="30" spans="9:10" x14ac:dyDescent="0.25">
      <c r="I30" s="1"/>
      <c r="J30" s="1"/>
    </row>
    <row r="31" spans="9:10" x14ac:dyDescent="0.25">
      <c r="I31" s="1"/>
      <c r="J31" s="1"/>
    </row>
    <row r="32" spans="9:10" x14ac:dyDescent="0.25">
      <c r="I32" s="1"/>
      <c r="J32" s="1"/>
    </row>
    <row r="33" spans="9:10" x14ac:dyDescent="0.25">
      <c r="I33" s="1"/>
      <c r="J33" s="1"/>
    </row>
    <row r="34" spans="9:10" x14ac:dyDescent="0.25">
      <c r="I34" s="1"/>
      <c r="J34" s="1"/>
    </row>
    <row r="35" spans="9:10" x14ac:dyDescent="0.25">
      <c r="I35" s="1"/>
      <c r="J35" s="1"/>
    </row>
    <row r="36" spans="9:10" x14ac:dyDescent="0.25">
      <c r="I36" s="1"/>
      <c r="J36" s="1"/>
    </row>
    <row r="37" spans="9:10" x14ac:dyDescent="0.25">
      <c r="I37" s="1"/>
      <c r="J37" s="1"/>
    </row>
    <row r="38" spans="9:10" x14ac:dyDescent="0.25">
      <c r="I38" s="1"/>
      <c r="J38" s="1"/>
    </row>
    <row r="39" spans="9:10" x14ac:dyDescent="0.25">
      <c r="I39" s="1"/>
      <c r="J39" s="1"/>
    </row>
    <row r="40" spans="9:10" x14ac:dyDescent="0.25">
      <c r="I40" s="1"/>
      <c r="J40" s="1"/>
    </row>
    <row r="41" spans="9:10" x14ac:dyDescent="0.25">
      <c r="I41" s="1"/>
      <c r="J41" s="1"/>
    </row>
    <row r="42" spans="9:10" x14ac:dyDescent="0.25">
      <c r="I42" s="1"/>
      <c r="J42" s="1"/>
    </row>
    <row r="43" spans="9:10" x14ac:dyDescent="0.25">
      <c r="I43" s="1"/>
      <c r="J43" s="1"/>
    </row>
    <row r="44" spans="9:10" x14ac:dyDescent="0.25">
      <c r="I44" s="1"/>
      <c r="J44" s="1"/>
    </row>
    <row r="45" spans="9:10" x14ac:dyDescent="0.25">
      <c r="I45" s="1"/>
      <c r="J45" s="1"/>
    </row>
    <row r="46" spans="9:10" x14ac:dyDescent="0.25">
      <c r="I46" s="1"/>
      <c r="J46" s="1"/>
    </row>
    <row r="47" spans="9:10" x14ac:dyDescent="0.25">
      <c r="I47" s="1"/>
      <c r="J47" s="1"/>
    </row>
    <row r="48" spans="9:10" x14ac:dyDescent="0.25">
      <c r="I48" s="1"/>
      <c r="J48" s="1"/>
    </row>
    <row r="49" spans="9:10" x14ac:dyDescent="0.25">
      <c r="I49" s="1"/>
      <c r="J49" s="1"/>
    </row>
    <row r="50" spans="9:10" x14ac:dyDescent="0.25">
      <c r="I50" s="1"/>
      <c r="J50" s="1"/>
    </row>
    <row r="51" spans="9:10" x14ac:dyDescent="0.25">
      <c r="I51" s="1"/>
      <c r="J51" s="1"/>
    </row>
    <row r="52" spans="9:10" x14ac:dyDescent="0.25">
      <c r="I52" s="1"/>
      <c r="J52" s="1"/>
    </row>
    <row r="53" spans="9:10" x14ac:dyDescent="0.25">
      <c r="I53" s="1"/>
      <c r="J53" s="1"/>
    </row>
    <row r="54" spans="9:10" x14ac:dyDescent="0.25">
      <c r="I54" s="1"/>
      <c r="J54" s="1"/>
    </row>
    <row r="55" spans="9:10" x14ac:dyDescent="0.25">
      <c r="I55" s="1"/>
      <c r="J55" s="1"/>
    </row>
    <row r="56" spans="9:10" x14ac:dyDescent="0.25">
      <c r="I56" s="1"/>
      <c r="J56" s="1"/>
    </row>
    <row r="57" spans="9:10" x14ac:dyDescent="0.25">
      <c r="I57" s="1"/>
      <c r="J57" s="1"/>
    </row>
    <row r="58" spans="9:10" x14ac:dyDescent="0.25">
      <c r="I58" s="1"/>
      <c r="J58" s="1"/>
    </row>
    <row r="59" spans="9:10" x14ac:dyDescent="0.25">
      <c r="I59" s="1"/>
      <c r="J59" s="1"/>
    </row>
    <row r="60" spans="9:10" x14ac:dyDescent="0.25">
      <c r="I60" s="1"/>
      <c r="J60" s="1"/>
    </row>
    <row r="61" spans="9:10" x14ac:dyDescent="0.25">
      <c r="I61" s="1"/>
      <c r="J61" s="1"/>
    </row>
    <row r="62" spans="9:10" x14ac:dyDescent="0.25">
      <c r="I62" s="1"/>
      <c r="J62" s="1"/>
    </row>
    <row r="63" spans="9:10" x14ac:dyDescent="0.25">
      <c r="I63" s="1"/>
      <c r="J63" s="1"/>
    </row>
    <row r="64" spans="9:10" x14ac:dyDescent="0.25">
      <c r="I64" s="1"/>
      <c r="J64" s="1"/>
    </row>
    <row r="65" spans="9:10" x14ac:dyDescent="0.25">
      <c r="I65" s="1"/>
      <c r="J65" s="1"/>
    </row>
    <row r="66" spans="9:10" x14ac:dyDescent="0.25">
      <c r="I66" s="1"/>
      <c r="J66" s="1"/>
    </row>
    <row r="67" spans="9:10" x14ac:dyDescent="0.25">
      <c r="I67" s="1"/>
      <c r="J67" s="1"/>
    </row>
    <row r="68" spans="9:10" x14ac:dyDescent="0.25">
      <c r="I68" s="1"/>
      <c r="J68" s="1"/>
    </row>
    <row r="69" spans="9:10" x14ac:dyDescent="0.25">
      <c r="I69" s="1"/>
      <c r="J69" s="1"/>
    </row>
    <row r="70" spans="9:10" x14ac:dyDescent="0.25">
      <c r="I70" s="1"/>
      <c r="J70" s="1"/>
    </row>
    <row r="71" spans="9:10" x14ac:dyDescent="0.25">
      <c r="I71" s="1"/>
      <c r="J71" s="1"/>
    </row>
    <row r="72" spans="9:10" x14ac:dyDescent="0.25">
      <c r="I72" s="1"/>
      <c r="J72" s="1"/>
    </row>
    <row r="73" spans="9:10" x14ac:dyDescent="0.25">
      <c r="I73" s="1"/>
      <c r="J73" s="1"/>
    </row>
    <row r="74" spans="9:10" x14ac:dyDescent="0.25">
      <c r="I74" s="1"/>
      <c r="J74" s="1"/>
    </row>
    <row r="75" spans="9:10" x14ac:dyDescent="0.25">
      <c r="I75" s="1"/>
      <c r="J75" s="1"/>
    </row>
    <row r="76" spans="9:10" x14ac:dyDescent="0.25">
      <c r="I76" s="1"/>
      <c r="J76" s="1"/>
    </row>
    <row r="77" spans="9:10" x14ac:dyDescent="0.25">
      <c r="I77" s="1"/>
      <c r="J77" s="1"/>
    </row>
    <row r="78" spans="9:10" x14ac:dyDescent="0.25">
      <c r="I78" s="1"/>
      <c r="J78" s="1"/>
    </row>
    <row r="79" spans="9:10" x14ac:dyDescent="0.25">
      <c r="I79" s="1"/>
      <c r="J79" s="1"/>
    </row>
    <row r="80" spans="9:10" x14ac:dyDescent="0.25">
      <c r="I80" s="1"/>
      <c r="J80" s="1"/>
    </row>
    <row r="81" spans="9:10" x14ac:dyDescent="0.25">
      <c r="I81" s="1"/>
      <c r="J81" s="1"/>
    </row>
    <row r="82" spans="9:10" x14ac:dyDescent="0.25">
      <c r="I82" s="1"/>
      <c r="J82" s="1"/>
    </row>
    <row r="83" spans="9:10" x14ac:dyDescent="0.25">
      <c r="I83" s="1"/>
      <c r="J83" s="1"/>
    </row>
    <row r="84" spans="9:10" x14ac:dyDescent="0.25">
      <c r="I84" s="1"/>
      <c r="J84" s="1"/>
    </row>
    <row r="85" spans="9:10" x14ac:dyDescent="0.25">
      <c r="I85" s="1"/>
      <c r="J85" s="1"/>
    </row>
    <row r="86" spans="9:10" x14ac:dyDescent="0.25">
      <c r="I86" s="1"/>
      <c r="J86" s="1"/>
    </row>
    <row r="87" spans="9:10" x14ac:dyDescent="0.25">
      <c r="I87" s="1"/>
      <c r="J87" s="1"/>
    </row>
    <row r="88" spans="9:10" x14ac:dyDescent="0.25">
      <c r="I88" s="1"/>
      <c r="J88" s="1"/>
    </row>
    <row r="89" spans="9:10" x14ac:dyDescent="0.25">
      <c r="I89" s="1"/>
      <c r="J89" s="1"/>
    </row>
    <row r="90" spans="9:10" x14ac:dyDescent="0.25">
      <c r="I90" s="1"/>
      <c r="J90" s="1"/>
    </row>
    <row r="91" spans="9:10" x14ac:dyDescent="0.25">
      <c r="I91" s="1"/>
      <c r="J91" s="1"/>
    </row>
    <row r="92" spans="9:10" x14ac:dyDescent="0.25">
      <c r="I92" s="1"/>
      <c r="J92" s="1"/>
    </row>
    <row r="93" spans="9:10" x14ac:dyDescent="0.25">
      <c r="I93" s="1"/>
      <c r="J93" s="1"/>
    </row>
    <row r="94" spans="9:10" x14ac:dyDescent="0.25">
      <c r="I94" s="1"/>
      <c r="J94" s="1"/>
    </row>
    <row r="95" spans="9:10" x14ac:dyDescent="0.25">
      <c r="I95" s="1"/>
      <c r="J95" s="1"/>
    </row>
    <row r="96" spans="9:10" x14ac:dyDescent="0.25">
      <c r="I96" s="1"/>
      <c r="J96" s="1"/>
    </row>
    <row r="97" spans="9:10" x14ac:dyDescent="0.25">
      <c r="I97" s="1"/>
      <c r="J97" s="1"/>
    </row>
    <row r="98" spans="9:10" x14ac:dyDescent="0.25">
      <c r="I98" s="1"/>
      <c r="J98" s="1"/>
    </row>
    <row r="99" spans="9:10" x14ac:dyDescent="0.25">
      <c r="I99" s="1"/>
      <c r="J99" s="1"/>
    </row>
    <row r="100" spans="9:10" x14ac:dyDescent="0.25">
      <c r="I100" s="1"/>
      <c r="J100" s="1"/>
    </row>
    <row r="101" spans="9:10" x14ac:dyDescent="0.25">
      <c r="I101" s="1"/>
      <c r="J101" s="1"/>
    </row>
    <row r="102" spans="9:10" x14ac:dyDescent="0.25">
      <c r="I102" s="1"/>
    </row>
    <row r="103" spans="9:10" x14ac:dyDescent="0.25">
      <c r="I103" s="1"/>
    </row>
    <row r="104" spans="9:10" x14ac:dyDescent="0.25">
      <c r="I104" s="1"/>
    </row>
    <row r="105" spans="9:10" x14ac:dyDescent="0.25">
      <c r="I105" s="1"/>
    </row>
    <row r="106" spans="9:10" x14ac:dyDescent="0.25">
      <c r="I106" s="1"/>
    </row>
    <row r="107" spans="9:10" x14ac:dyDescent="0.25">
      <c r="I107" s="1"/>
    </row>
    <row r="108" spans="9:10" x14ac:dyDescent="0.25">
      <c r="I108" s="1"/>
    </row>
    <row r="109" spans="9:10" x14ac:dyDescent="0.25">
      <c r="I109" s="1"/>
    </row>
    <row r="110" spans="9:10" x14ac:dyDescent="0.25">
      <c r="I110" s="1"/>
    </row>
    <row r="111" spans="9:10" x14ac:dyDescent="0.25">
      <c r="I111" s="1"/>
    </row>
    <row r="112" spans="9:10" x14ac:dyDescent="0.25">
      <c r="I112" s="1"/>
    </row>
    <row r="113" spans="9:9" x14ac:dyDescent="0.25">
      <c r="I113" s="1"/>
    </row>
    <row r="114" spans="9:9" x14ac:dyDescent="0.25">
      <c r="I114" s="1"/>
    </row>
    <row r="115" spans="9:9" x14ac:dyDescent="0.25">
      <c r="I115" s="1"/>
    </row>
    <row r="116" spans="9:9" x14ac:dyDescent="0.25">
      <c r="I116" s="1"/>
    </row>
    <row r="117" spans="9:9" x14ac:dyDescent="0.25">
      <c r="I117" s="1"/>
    </row>
    <row r="118" spans="9:9" x14ac:dyDescent="0.25">
      <c r="I118" s="1"/>
    </row>
    <row r="119" spans="9:9" x14ac:dyDescent="0.25">
      <c r="I119" s="1"/>
    </row>
    <row r="120" spans="9:9" x14ac:dyDescent="0.25">
      <c r="I120" s="1"/>
    </row>
    <row r="121" spans="9:9" x14ac:dyDescent="0.25">
      <c r="I121" s="1"/>
    </row>
    <row r="122" spans="9:9" x14ac:dyDescent="0.25">
      <c r="I122" s="1"/>
    </row>
    <row r="1048576" spans="1:8" x14ac:dyDescent="0.25">
      <c r="A1048576" s="13" t="s">
        <v>7</v>
      </c>
      <c r="C1048576" s="13" t="s">
        <v>21</v>
      </c>
      <c r="D1048576" s="13" t="s">
        <v>22</v>
      </c>
      <c r="E1048576" s="18">
        <v>5000</v>
      </c>
      <c r="F1048576" s="19">
        <v>0</v>
      </c>
      <c r="G1048576" s="13" t="s">
        <v>23</v>
      </c>
      <c r="H1048576" s="13" t="s">
        <v>24</v>
      </c>
    </row>
  </sheetData>
  <autoFilter ref="A2:H2" xr:uid="{00000000-0009-0000-0000-000000000000}"/>
  <mergeCells count="1">
    <mergeCell ref="A1:H1"/>
  </mergeCells>
  <conditionalFormatting sqref="H2">
    <cfRule type="containsText" dxfId="77" priority="39" operator="containsText" text="PENDENTE">
      <formula>NOT(ISERROR(SEARCH("PENDENTE",H2)))</formula>
    </cfRule>
    <cfRule type="containsText" dxfId="76" priority="40" operator="containsText" text="PAGO">
      <formula>NOT(ISERROR(SEARCH("PAGO",H2)))</formula>
    </cfRule>
  </conditionalFormatting>
  <conditionalFormatting sqref="H3:H999">
    <cfRule type="containsText" dxfId="75" priority="468" operator="containsText" text="PAGO">
      <formula>NOT(ISERROR(SEARCH("PAGO",H3)))</formula>
    </cfRule>
    <cfRule type="containsText" dxfId="74" priority="467" operator="containsText" text="PENDENTE">
      <formula>NOT(ISERROR(SEARCH("PENDENTE",H3)))</formula>
    </cfRule>
  </conditionalFormatting>
  <conditionalFormatting sqref="H3:H1048575">
    <cfRule type="containsText" dxfId="73" priority="465" operator="containsText" text="PENDENTE">
      <formula>NOT(ISERROR(SEARCH("PENDENTE",H3)))</formula>
    </cfRule>
    <cfRule type="containsText" dxfId="72" priority="464" operator="containsText" text="PAGO">
      <formula>NOT(ISERROR(SEARCH("PAGO",H3)))</formula>
    </cfRule>
    <cfRule type="containsText" dxfId="71" priority="463" operator="containsText" text="PENDENTE">
      <formula>NOT(ISERROR(SEARCH("PENDENTE",H3)))</formula>
    </cfRule>
    <cfRule type="containsText" dxfId="70" priority="462" operator="containsText" text="PAGO">
      <formula>NOT(ISERROR(SEARCH("PAGO",H3)))</formula>
    </cfRule>
    <cfRule type="containsText" dxfId="69" priority="461" operator="containsText" text="PENDENTE">
      <formula>NOT(ISERROR(SEARCH("PENDENTE",H3)))</formula>
    </cfRule>
    <cfRule type="containsText" dxfId="68" priority="460" operator="containsText" text="PAGO">
      <formula>NOT(ISERROR(SEARCH("PAGO",H3)))</formula>
    </cfRule>
    <cfRule type="containsText" dxfId="67" priority="420" operator="containsText" text="PAGO">
      <formula>NOT(ISERROR(SEARCH("PAGO",H3)))</formula>
    </cfRule>
    <cfRule type="containsText" dxfId="66" priority="458" operator="containsText" text="PAGO">
      <formula>NOT(ISERROR(SEARCH("PAGO",H3)))</formula>
    </cfRule>
    <cfRule type="containsText" dxfId="65" priority="457" operator="containsText" text="PENDENTE">
      <formula>NOT(ISERROR(SEARCH("PENDENTE",H3)))</formula>
    </cfRule>
    <cfRule type="containsText" dxfId="64" priority="456" operator="containsText" text="PAGO">
      <formula>NOT(ISERROR(SEARCH("PAGO",H3)))</formula>
    </cfRule>
    <cfRule type="containsText" dxfId="63" priority="455" operator="containsText" text="PENDENTE">
      <formula>NOT(ISERROR(SEARCH("PENDENTE",H3)))</formula>
    </cfRule>
    <cfRule type="containsText" dxfId="62" priority="454" operator="containsText" text="PAGO">
      <formula>NOT(ISERROR(SEARCH("PAGO",H3)))</formula>
    </cfRule>
    <cfRule type="containsText" dxfId="61" priority="453" operator="containsText" text="PENDENTE">
      <formula>NOT(ISERROR(SEARCH("PENDENTE",H3)))</formula>
    </cfRule>
    <cfRule type="containsText" dxfId="60" priority="422" operator="containsText" text="PAGO">
      <formula>NOT(ISERROR(SEARCH("PAGO",H3)))</formula>
    </cfRule>
    <cfRule type="containsText" dxfId="59" priority="421" operator="containsText" text="PENDENTE">
      <formula>NOT(ISERROR(SEARCH("PENDENTE",H3)))</formula>
    </cfRule>
    <cfRule type="containsText" dxfId="58" priority="419" operator="containsText" text="PENDENTE">
      <formula>NOT(ISERROR(SEARCH("PENDENTE",H3)))</formula>
    </cfRule>
    <cfRule type="containsText" dxfId="57" priority="418" operator="containsText" text="PAGO">
      <formula>NOT(ISERROR(SEARCH("PAGO",H3)))</formula>
    </cfRule>
    <cfRule type="containsText" dxfId="56" priority="417" operator="containsText" text="PENDENTE">
      <formula>NOT(ISERROR(SEARCH("PENDENTE",H3)))</formula>
    </cfRule>
    <cfRule type="containsText" dxfId="55" priority="416" operator="containsText" text="PAGO">
      <formula>NOT(ISERROR(SEARCH("PAGO",H3)))</formula>
    </cfRule>
    <cfRule type="containsText" dxfId="54" priority="415" operator="containsText" text="PENDENTE">
      <formula>NOT(ISERROR(SEARCH("PENDENTE",H3)))</formula>
    </cfRule>
    <cfRule type="containsText" dxfId="53" priority="382" operator="containsText" text="PAGO">
      <formula>NOT(ISERROR(SEARCH("PAGO",H3)))</formula>
    </cfRule>
    <cfRule type="containsText" dxfId="52" priority="381" operator="containsText" text="PENDENTE">
      <formula>NOT(ISERROR(SEARCH("PENDENTE",H3)))</formula>
    </cfRule>
    <cfRule type="containsText" dxfId="51" priority="380" operator="containsText" text="PAGO">
      <formula>NOT(ISERROR(SEARCH("PAGO",H3)))</formula>
    </cfRule>
    <cfRule type="containsText" dxfId="50" priority="379" operator="containsText" text="PENDENTE">
      <formula>NOT(ISERROR(SEARCH("PENDENTE",H3)))</formula>
    </cfRule>
    <cfRule type="containsText" dxfId="49" priority="378" operator="containsText" text="PAGO">
      <formula>NOT(ISERROR(SEARCH("PAGO",H3)))</formula>
    </cfRule>
    <cfRule type="containsText" dxfId="48" priority="376" operator="containsText" text="PAGO">
      <formula>NOT(ISERROR(SEARCH("PAGO",H3)))</formula>
    </cfRule>
    <cfRule type="containsText" dxfId="47" priority="377" operator="containsText" text="PENDENTE">
      <formula>NOT(ISERROR(SEARCH("PENDENTE",H3)))</formula>
    </cfRule>
    <cfRule type="containsText" dxfId="46" priority="375" operator="containsText" text="PENDENTE">
      <formula>NOT(ISERROR(SEARCH("PENDENTE",H3)))</formula>
    </cfRule>
    <cfRule type="containsText" dxfId="45" priority="374" operator="containsText" text="PAGO">
      <formula>NOT(ISERROR(SEARCH("PAGO",H3)))</formula>
    </cfRule>
    <cfRule type="containsText" dxfId="44" priority="373" operator="containsText" text="PENDENTE">
      <formula>NOT(ISERROR(SEARCH("PENDENTE",H3)))</formula>
    </cfRule>
    <cfRule type="containsText" dxfId="43" priority="372" operator="containsText" text="PAGO">
      <formula>NOT(ISERROR(SEARCH("PAGO",H3)))</formula>
    </cfRule>
    <cfRule type="containsText" dxfId="42" priority="371" operator="containsText" text="PENDENTE">
      <formula>NOT(ISERROR(SEARCH("PENDENTE",H3)))</formula>
    </cfRule>
    <cfRule type="containsText" dxfId="41" priority="370" operator="containsText" text="PAGO">
      <formula>NOT(ISERROR(SEARCH("PAGO",H3)))</formula>
    </cfRule>
    <cfRule type="containsText" dxfId="40" priority="369" operator="containsText" text="PENDENTE">
      <formula>NOT(ISERROR(SEARCH("PENDENTE",H3)))</formula>
    </cfRule>
    <cfRule type="containsText" dxfId="39" priority="466" operator="containsText" text="PAGO">
      <formula>NOT(ISERROR(SEARCH("PAGO",H3)))</formula>
    </cfRule>
    <cfRule type="containsText" dxfId="38" priority="459" operator="containsText" text="PENDENTE">
      <formula>NOT(ISERROR(SEARCH("PENDENTE",H3)))</formula>
    </cfRule>
  </conditionalFormatting>
  <conditionalFormatting sqref="H3:H1048576">
    <cfRule type="containsText" dxfId="37" priority="117" operator="containsText" text="PENDENTE">
      <formula>NOT(ISERROR(SEARCH("PENDENTE",H3)))</formula>
    </cfRule>
    <cfRule type="containsText" dxfId="36" priority="118" operator="containsText" text="PAGO">
      <formula>NOT(ISERROR(SEARCH("PAGO",H3)))</formula>
    </cfRule>
  </conditionalFormatting>
  <conditionalFormatting sqref="H1048576">
    <cfRule type="containsText" dxfId="35" priority="114" operator="containsText" text="PAGO">
      <formula>NOT(ISERROR(SEARCH("PAGO",H1048576)))</formula>
    </cfRule>
    <cfRule type="containsText" dxfId="34" priority="113" operator="containsText" text="PENDENTE">
      <formula>NOT(ISERROR(SEARCH("PENDENTE",H1048576)))</formula>
    </cfRule>
    <cfRule type="containsText" dxfId="33" priority="112" operator="containsText" text="PAGO">
      <formula>NOT(ISERROR(SEARCH("PAGO",H1048576)))</formula>
    </cfRule>
    <cfRule type="containsText" dxfId="32" priority="111" operator="containsText" text="PENDENTE">
      <formula>NOT(ISERROR(SEARCH("PENDENTE",H1048576)))</formula>
    </cfRule>
    <cfRule type="containsText" dxfId="31" priority="110" operator="containsText" text="PAGO">
      <formula>NOT(ISERROR(SEARCH("PAGO",H1048576)))</formula>
    </cfRule>
    <cfRule type="containsText" dxfId="30" priority="108" operator="containsText" text="PAGO">
      <formula>NOT(ISERROR(SEARCH("PAGO",H1048576)))</formula>
    </cfRule>
    <cfRule type="containsText" dxfId="29" priority="109" operator="containsText" text="PENDENTE">
      <formula>NOT(ISERROR(SEARCH("PENDENTE",H1048576)))</formula>
    </cfRule>
    <cfRule type="containsText" dxfId="28" priority="107" operator="containsText" text="PENDENTE">
      <formula>NOT(ISERROR(SEARCH("PENDENTE",H1048576)))</formula>
    </cfRule>
    <cfRule type="containsText" dxfId="27" priority="106" operator="containsText" text="PAGO">
      <formula>NOT(ISERROR(SEARCH("PAGO",H1048576)))</formula>
    </cfRule>
    <cfRule type="containsText" dxfId="26" priority="105" operator="containsText" text="PENDENTE">
      <formula>NOT(ISERROR(SEARCH("PENDENTE",H1048576)))</formula>
    </cfRule>
    <cfRule type="containsText" dxfId="25" priority="104" operator="containsText" text="PAGO">
      <formula>NOT(ISERROR(SEARCH("PAGO",H1048576)))</formula>
    </cfRule>
    <cfRule type="containsText" dxfId="24" priority="103" operator="containsText" text="PENDENTE">
      <formula>NOT(ISERROR(SEARCH("PENDENTE",H1048576)))</formula>
    </cfRule>
    <cfRule type="containsText" dxfId="23" priority="102" operator="containsText" text="PAGO">
      <formula>NOT(ISERROR(SEARCH("PAGO",H1048576)))</formula>
    </cfRule>
    <cfRule type="containsText" dxfId="22" priority="101" operator="containsText" text="PENDENTE">
      <formula>NOT(ISERROR(SEARCH("PENDENTE",H1048576)))</formula>
    </cfRule>
    <cfRule type="containsText" dxfId="21" priority="100" operator="containsText" text="PAGO">
      <formula>NOT(ISERROR(SEARCH("PAGO",H1048576)))</formula>
    </cfRule>
    <cfRule type="containsText" dxfId="20" priority="99" operator="containsText" text="PENDENTE">
      <formula>NOT(ISERROR(SEARCH("PENDENTE",H1048576)))</formula>
    </cfRule>
    <cfRule type="containsText" dxfId="19" priority="98" operator="containsText" text="PAGO">
      <formula>NOT(ISERROR(SEARCH("PAGO",H1048576)))</formula>
    </cfRule>
    <cfRule type="containsText" dxfId="18" priority="97" operator="containsText" text="PENDENTE">
      <formula>NOT(ISERROR(SEARCH("PENDENTE",H1048576)))</formula>
    </cfRule>
    <cfRule type="containsText" dxfId="17" priority="96" operator="containsText" text="PAGO">
      <formula>NOT(ISERROR(SEARCH("PAGO",H1048576)))</formula>
    </cfRule>
    <cfRule type="containsText" dxfId="16" priority="95" operator="containsText" text="PENDENTE">
      <formula>NOT(ISERROR(SEARCH("PENDENTE",H1048576)))</formula>
    </cfRule>
    <cfRule type="containsText" dxfId="15" priority="94" operator="containsText" text="PAGO">
      <formula>NOT(ISERROR(SEARCH("PAGO",H1048576)))</formula>
    </cfRule>
    <cfRule type="containsText" dxfId="14" priority="93" operator="containsText" text="PENDENTE">
      <formula>NOT(ISERROR(SEARCH("PENDENTE",H1048576)))</formula>
    </cfRule>
    <cfRule type="containsText" dxfId="13" priority="92" operator="containsText" text="PAGO">
      <formula>NOT(ISERROR(SEARCH("PAGO",H1048576)))</formula>
    </cfRule>
    <cfRule type="containsText" dxfId="12" priority="91" operator="containsText" text="PENDENTE">
      <formula>NOT(ISERROR(SEARCH("PENDENTE",H1048576)))</formula>
    </cfRule>
    <cfRule type="containsText" dxfId="11" priority="90" operator="containsText" text="PAGO">
      <formula>NOT(ISERROR(SEARCH("PAGO",H1048576)))</formula>
    </cfRule>
    <cfRule type="containsText" dxfId="10" priority="89" operator="containsText" text="PENDENTE">
      <formula>NOT(ISERROR(SEARCH("PENDENTE",H1048576)))</formula>
    </cfRule>
    <cfRule type="containsText" dxfId="9" priority="88" operator="containsText" text="PAGO">
      <formula>NOT(ISERROR(SEARCH("PAGO",H1048576)))</formula>
    </cfRule>
    <cfRule type="containsText" dxfId="8" priority="87" operator="containsText" text="PENDENTE">
      <formula>NOT(ISERROR(SEARCH("PENDENTE",H1048576)))</formula>
    </cfRule>
    <cfRule type="containsText" dxfId="7" priority="86" operator="containsText" text="PAGO">
      <formula>NOT(ISERROR(SEARCH("PAGO",H1048576)))</formula>
    </cfRule>
    <cfRule type="containsText" dxfId="6" priority="85" operator="containsText" text="PENDENTE">
      <formula>NOT(ISERROR(SEARCH("PENDENTE",H1048576)))</formula>
    </cfRule>
    <cfRule type="containsText" dxfId="5" priority="84" operator="containsText" text="PAGO">
      <formula>NOT(ISERROR(SEARCH("PAGO",H1048576)))</formula>
    </cfRule>
    <cfRule type="containsText" dxfId="4" priority="83" operator="containsText" text="PENDENTE">
      <formula>NOT(ISERROR(SEARCH("PENDENTE",H1048576)))</formula>
    </cfRule>
    <cfRule type="containsText" dxfId="3" priority="82" operator="containsText" text="PAGO">
      <formula>NOT(ISERROR(SEARCH("PAGO",H1048576)))</formula>
    </cfRule>
    <cfRule type="containsText" dxfId="2" priority="81" operator="containsText" text="PENDENTE">
      <formula>NOT(ISERROR(SEARCH("PENDENTE",H1048576)))</formula>
    </cfRule>
    <cfRule type="containsText" dxfId="1" priority="116" operator="containsText" text="PAGO">
      <formula>NOT(ISERROR(SEARCH("PAGO",H1048576)))</formula>
    </cfRule>
    <cfRule type="containsText" dxfId="0" priority="115" operator="containsText" text="PENDENTE">
      <formula>NOT(ISERROR(SEARCH("PENDENTE",H1048576)))</formula>
    </cfRule>
  </conditionalFormatting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48576"/>
  <sheetViews>
    <sheetView workbookViewId="0">
      <selection activeCell="E6" sqref="A3:E6"/>
    </sheetView>
  </sheetViews>
  <sheetFormatPr defaultRowHeight="15" x14ac:dyDescent="0.25"/>
  <cols>
    <col min="1" max="1" width="11" style="13" bestFit="1" customWidth="1"/>
    <col min="2" max="2" width="35.28515625" style="13" customWidth="1"/>
    <col min="3" max="3" width="16.28515625" style="13" customWidth="1"/>
    <col min="4" max="4" width="13" style="13" customWidth="1"/>
    <col min="5" max="5" width="15.85546875" style="18" bestFit="1" customWidth="1"/>
    <col min="6" max="6" width="13" customWidth="1"/>
    <col min="7" max="7" width="17.85546875" bestFit="1" customWidth="1"/>
  </cols>
  <sheetData>
    <row r="1" spans="1:7" ht="20.25" customHeight="1" x14ac:dyDescent="0.3">
      <c r="A1" s="29" t="s">
        <v>0</v>
      </c>
      <c r="B1" s="27"/>
      <c r="C1" s="27"/>
      <c r="D1" s="27"/>
      <c r="E1" s="28"/>
      <c r="F1" s="1"/>
      <c r="G1" s="2" t="s">
        <v>1</v>
      </c>
    </row>
    <row r="2" spans="1:7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1"/>
      <c r="G2" s="20">
        <f>SUM(E3:E1048575)</f>
        <v>0</v>
      </c>
    </row>
    <row r="3" spans="1:7" x14ac:dyDescent="0.25">
      <c r="A3" s="14"/>
      <c r="B3" s="15"/>
      <c r="C3" s="14"/>
      <c r="D3" s="14"/>
      <c r="F3" s="1"/>
      <c r="G3" s="1"/>
    </row>
    <row r="4" spans="1:7" x14ac:dyDescent="0.25">
      <c r="F4" s="1"/>
      <c r="G4" s="1"/>
    </row>
    <row r="5" spans="1:7" x14ac:dyDescent="0.25">
      <c r="F5" s="1"/>
      <c r="G5" s="1"/>
    </row>
    <row r="6" spans="1:7" x14ac:dyDescent="0.25">
      <c r="F6" s="1"/>
      <c r="G6" s="1"/>
    </row>
    <row r="7" spans="1:7" x14ac:dyDescent="0.25">
      <c r="F7" s="1"/>
      <c r="G7" s="1"/>
    </row>
    <row r="8" spans="1:7" x14ac:dyDescent="0.25">
      <c r="F8" s="1"/>
      <c r="G8" s="1"/>
    </row>
    <row r="9" spans="1:7" x14ac:dyDescent="0.25">
      <c r="F9" s="1"/>
      <c r="G9" s="1"/>
    </row>
    <row r="10" spans="1:7" x14ac:dyDescent="0.25">
      <c r="F10" s="1"/>
      <c r="G10" s="1"/>
    </row>
    <row r="11" spans="1:7" x14ac:dyDescent="0.25">
      <c r="F11" s="1"/>
      <c r="G11" s="1"/>
    </row>
    <row r="12" spans="1:7" x14ac:dyDescent="0.25">
      <c r="F12" s="1"/>
      <c r="G12" s="1"/>
    </row>
    <row r="13" spans="1:7" x14ac:dyDescent="0.25">
      <c r="F13" s="1"/>
      <c r="G13" s="1"/>
    </row>
    <row r="14" spans="1:7" x14ac:dyDescent="0.25">
      <c r="F14" s="1"/>
      <c r="G14" s="1"/>
    </row>
    <row r="15" spans="1:7" x14ac:dyDescent="0.25">
      <c r="F15" s="1"/>
      <c r="G15" s="1"/>
    </row>
    <row r="16" spans="1:7" x14ac:dyDescent="0.25">
      <c r="F16" s="1"/>
      <c r="G16" s="1"/>
    </row>
    <row r="17" spans="6:7" x14ac:dyDescent="0.25">
      <c r="F17" s="1"/>
      <c r="G17" s="1"/>
    </row>
    <row r="18" spans="6:7" x14ac:dyDescent="0.25">
      <c r="F18" s="1"/>
      <c r="G18" s="1"/>
    </row>
    <row r="19" spans="6:7" x14ac:dyDescent="0.25">
      <c r="F19" s="1"/>
      <c r="G19" s="1"/>
    </row>
    <row r="20" spans="6:7" x14ac:dyDescent="0.25">
      <c r="F20" s="1"/>
      <c r="G20" s="1"/>
    </row>
    <row r="21" spans="6:7" x14ac:dyDescent="0.25">
      <c r="F21" s="1"/>
      <c r="G21" s="1"/>
    </row>
    <row r="22" spans="6:7" x14ac:dyDescent="0.25">
      <c r="F22" s="1"/>
      <c r="G22" s="1"/>
    </row>
    <row r="23" spans="6:7" x14ac:dyDescent="0.25">
      <c r="F23" s="1"/>
      <c r="G23" s="1"/>
    </row>
    <row r="24" spans="6:7" x14ac:dyDescent="0.25">
      <c r="F24" s="1"/>
      <c r="G24" s="1"/>
    </row>
    <row r="25" spans="6:7" x14ac:dyDescent="0.25">
      <c r="F25" s="1"/>
      <c r="G25" s="1"/>
    </row>
    <row r="26" spans="6:7" x14ac:dyDescent="0.25">
      <c r="F26" s="1"/>
      <c r="G26" s="1"/>
    </row>
    <row r="27" spans="6:7" x14ac:dyDescent="0.25">
      <c r="F27" s="1"/>
      <c r="G27" s="1"/>
    </row>
    <row r="28" spans="6:7" x14ac:dyDescent="0.25">
      <c r="F28" s="1"/>
      <c r="G28" s="1"/>
    </row>
    <row r="29" spans="6:7" x14ac:dyDescent="0.25">
      <c r="F29" s="1"/>
      <c r="G29" s="1"/>
    </row>
    <row r="30" spans="6:7" x14ac:dyDescent="0.25">
      <c r="F30" s="1"/>
      <c r="G30" s="1"/>
    </row>
    <row r="31" spans="6:7" x14ac:dyDescent="0.25">
      <c r="F31" s="1"/>
      <c r="G31" s="1"/>
    </row>
    <row r="32" spans="6:7" x14ac:dyDescent="0.25">
      <c r="F32" s="1"/>
      <c r="G32" s="1"/>
    </row>
    <row r="33" spans="6:7" x14ac:dyDescent="0.25">
      <c r="F33" s="1"/>
      <c r="G33" s="1"/>
    </row>
    <row r="34" spans="6:7" x14ac:dyDescent="0.25">
      <c r="F34" s="1"/>
      <c r="G34" s="1"/>
    </row>
    <row r="35" spans="6:7" x14ac:dyDescent="0.25">
      <c r="F35" s="1"/>
      <c r="G35" s="1"/>
    </row>
    <row r="36" spans="6:7" x14ac:dyDescent="0.25">
      <c r="F36" s="1"/>
      <c r="G36" s="1"/>
    </row>
    <row r="37" spans="6:7" x14ac:dyDescent="0.25">
      <c r="F37" s="1"/>
      <c r="G37" s="1"/>
    </row>
    <row r="38" spans="6:7" x14ac:dyDescent="0.25">
      <c r="F38" s="1"/>
      <c r="G38" s="1"/>
    </row>
    <row r="39" spans="6:7" x14ac:dyDescent="0.25">
      <c r="F39" s="1"/>
      <c r="G39" s="1"/>
    </row>
    <row r="40" spans="6:7" x14ac:dyDescent="0.25">
      <c r="F40" s="1"/>
      <c r="G40" s="1"/>
    </row>
    <row r="41" spans="6:7" x14ac:dyDescent="0.25">
      <c r="F41" s="1"/>
      <c r="G41" s="1"/>
    </row>
    <row r="42" spans="6:7" x14ac:dyDescent="0.25">
      <c r="F42" s="1"/>
      <c r="G42" s="1"/>
    </row>
    <row r="43" spans="6:7" x14ac:dyDescent="0.25">
      <c r="F43" s="1"/>
      <c r="G43" s="1"/>
    </row>
    <row r="44" spans="6:7" x14ac:dyDescent="0.25">
      <c r="F44" s="1"/>
      <c r="G44" s="1"/>
    </row>
    <row r="45" spans="6:7" x14ac:dyDescent="0.25">
      <c r="F45" s="1"/>
      <c r="G45" s="1"/>
    </row>
    <row r="46" spans="6:7" x14ac:dyDescent="0.25">
      <c r="F46" s="1"/>
      <c r="G46" s="1"/>
    </row>
    <row r="47" spans="6:7" x14ac:dyDescent="0.25">
      <c r="F47" s="1"/>
      <c r="G47" s="1"/>
    </row>
    <row r="48" spans="6:7" x14ac:dyDescent="0.25">
      <c r="F48" s="1"/>
      <c r="G48" s="1"/>
    </row>
    <row r="49" spans="6:7" x14ac:dyDescent="0.25">
      <c r="F49" s="1"/>
      <c r="G49" s="1"/>
    </row>
    <row r="50" spans="6:7" x14ac:dyDescent="0.25">
      <c r="F50" s="1"/>
      <c r="G50" s="1"/>
    </row>
    <row r="51" spans="6:7" x14ac:dyDescent="0.25">
      <c r="F51" s="1"/>
      <c r="G51" s="1"/>
    </row>
    <row r="52" spans="6:7" x14ac:dyDescent="0.25">
      <c r="F52" s="1"/>
      <c r="G52" s="1"/>
    </row>
    <row r="53" spans="6:7" x14ac:dyDescent="0.25">
      <c r="F53" s="1"/>
      <c r="G53" s="1"/>
    </row>
    <row r="54" spans="6:7" x14ac:dyDescent="0.25">
      <c r="F54" s="1"/>
      <c r="G54" s="1"/>
    </row>
    <row r="55" spans="6:7" x14ac:dyDescent="0.25">
      <c r="F55" s="1"/>
      <c r="G55" s="1"/>
    </row>
    <row r="56" spans="6:7" x14ac:dyDescent="0.25">
      <c r="F56" s="1"/>
      <c r="G56" s="1"/>
    </row>
    <row r="57" spans="6:7" x14ac:dyDescent="0.25">
      <c r="F57" s="1"/>
      <c r="G57" s="1"/>
    </row>
    <row r="58" spans="6:7" x14ac:dyDescent="0.25">
      <c r="F58" s="1"/>
      <c r="G58" s="1"/>
    </row>
    <row r="59" spans="6:7" x14ac:dyDescent="0.25">
      <c r="F59" s="1"/>
      <c r="G59" s="1"/>
    </row>
    <row r="60" spans="6:7" x14ac:dyDescent="0.25">
      <c r="F60" s="1"/>
      <c r="G60" s="1"/>
    </row>
    <row r="61" spans="6:7" x14ac:dyDescent="0.25">
      <c r="F61" s="1"/>
      <c r="G61" s="1"/>
    </row>
    <row r="62" spans="6:7" x14ac:dyDescent="0.25">
      <c r="F62" s="1"/>
      <c r="G62" s="1"/>
    </row>
    <row r="63" spans="6:7" x14ac:dyDescent="0.25">
      <c r="F63" s="1"/>
      <c r="G63" s="1"/>
    </row>
    <row r="64" spans="6:7" x14ac:dyDescent="0.25">
      <c r="F64" s="1"/>
      <c r="G64" s="1"/>
    </row>
    <row r="65" spans="6:7" x14ac:dyDescent="0.25">
      <c r="F65" s="1"/>
      <c r="G65" s="1"/>
    </row>
    <row r="66" spans="6:7" x14ac:dyDescent="0.25">
      <c r="F66" s="1"/>
      <c r="G66" s="1"/>
    </row>
    <row r="67" spans="6:7" x14ac:dyDescent="0.25">
      <c r="F67" s="1"/>
      <c r="G67" s="1"/>
    </row>
    <row r="68" spans="6:7" x14ac:dyDescent="0.25">
      <c r="F68" s="1"/>
      <c r="G68" s="1"/>
    </row>
    <row r="69" spans="6:7" x14ac:dyDescent="0.25">
      <c r="F69" s="1"/>
      <c r="G69" s="1"/>
    </row>
    <row r="70" spans="6:7" x14ac:dyDescent="0.25">
      <c r="F70" s="1"/>
      <c r="G70" s="1"/>
    </row>
    <row r="71" spans="6:7" x14ac:dyDescent="0.25">
      <c r="F71" s="1"/>
      <c r="G71" s="1"/>
    </row>
    <row r="72" spans="6:7" x14ac:dyDescent="0.25">
      <c r="F72" s="1"/>
      <c r="G72" s="1"/>
    </row>
    <row r="73" spans="6:7" x14ac:dyDescent="0.25">
      <c r="F73" s="1"/>
      <c r="G73" s="1"/>
    </row>
    <row r="74" spans="6:7" x14ac:dyDescent="0.25">
      <c r="F74" s="1"/>
      <c r="G74" s="1"/>
    </row>
    <row r="75" spans="6:7" x14ac:dyDescent="0.25">
      <c r="F75" s="1"/>
      <c r="G75" s="1"/>
    </row>
    <row r="76" spans="6:7" x14ac:dyDescent="0.25">
      <c r="F76" s="1"/>
      <c r="G76" s="1"/>
    </row>
    <row r="77" spans="6:7" x14ac:dyDescent="0.25">
      <c r="F77" s="1"/>
      <c r="G77" s="1"/>
    </row>
    <row r="78" spans="6:7" x14ac:dyDescent="0.25">
      <c r="F78" s="1"/>
      <c r="G78" s="1"/>
    </row>
    <row r="79" spans="6:7" x14ac:dyDescent="0.25">
      <c r="F79" s="1"/>
      <c r="G79" s="1"/>
    </row>
    <row r="80" spans="6:7" x14ac:dyDescent="0.25">
      <c r="F80" s="1"/>
      <c r="G80" s="1"/>
    </row>
    <row r="81" spans="6:7" x14ac:dyDescent="0.25">
      <c r="F81" s="1"/>
      <c r="G81" s="1"/>
    </row>
    <row r="82" spans="6:7" x14ac:dyDescent="0.25">
      <c r="F82" s="1"/>
      <c r="G82" s="1"/>
    </row>
    <row r="83" spans="6:7" x14ac:dyDescent="0.25">
      <c r="F83" s="1"/>
      <c r="G83" s="1"/>
    </row>
    <row r="84" spans="6:7" x14ac:dyDescent="0.25">
      <c r="F84" s="1"/>
      <c r="G84" s="1"/>
    </row>
    <row r="85" spans="6:7" x14ac:dyDescent="0.25">
      <c r="F85" s="1"/>
      <c r="G85" s="1"/>
    </row>
    <row r="86" spans="6:7" x14ac:dyDescent="0.25">
      <c r="F86" s="1"/>
      <c r="G86" s="1"/>
    </row>
    <row r="87" spans="6:7" x14ac:dyDescent="0.25">
      <c r="F87" s="1"/>
      <c r="G87" s="1"/>
    </row>
    <row r="88" spans="6:7" x14ac:dyDescent="0.25">
      <c r="F88" s="1"/>
      <c r="G88" s="1"/>
    </row>
    <row r="89" spans="6:7" x14ac:dyDescent="0.25">
      <c r="F89" s="1"/>
      <c r="G89" s="1"/>
    </row>
    <row r="90" spans="6:7" x14ac:dyDescent="0.25">
      <c r="F90" s="1"/>
      <c r="G90" s="1"/>
    </row>
    <row r="91" spans="6:7" x14ac:dyDescent="0.25">
      <c r="F91" s="1"/>
      <c r="G91" s="1"/>
    </row>
    <row r="92" spans="6:7" x14ac:dyDescent="0.25">
      <c r="F92" s="1"/>
      <c r="G92" s="1"/>
    </row>
    <row r="93" spans="6:7" x14ac:dyDescent="0.25">
      <c r="F93" s="1"/>
      <c r="G93" s="1"/>
    </row>
    <row r="94" spans="6:7" x14ac:dyDescent="0.25">
      <c r="F94" s="1"/>
      <c r="G94" s="1"/>
    </row>
    <row r="95" spans="6:7" x14ac:dyDescent="0.25">
      <c r="F95" s="1"/>
      <c r="G95" s="1"/>
    </row>
    <row r="96" spans="6:7" x14ac:dyDescent="0.25">
      <c r="F96" s="1"/>
      <c r="G96" s="1"/>
    </row>
    <row r="97" spans="6:7" x14ac:dyDescent="0.25">
      <c r="F97" s="1"/>
      <c r="G97" s="1"/>
    </row>
    <row r="98" spans="6:7" x14ac:dyDescent="0.25">
      <c r="F98" s="1"/>
      <c r="G98" s="1"/>
    </row>
    <row r="99" spans="6:7" x14ac:dyDescent="0.25">
      <c r="F99" s="1"/>
      <c r="G99" s="1"/>
    </row>
    <row r="100" spans="6:7" x14ac:dyDescent="0.25">
      <c r="F100" s="1"/>
      <c r="G100" s="1"/>
    </row>
    <row r="101" spans="6:7" x14ac:dyDescent="0.25">
      <c r="F101" s="1"/>
      <c r="G101" s="1"/>
    </row>
    <row r="1048576" spans="1:5" x14ac:dyDescent="0.25">
      <c r="A1048576" s="13" t="s">
        <v>7</v>
      </c>
      <c r="C1048576" s="13" t="s">
        <v>8</v>
      </c>
      <c r="D1048576" s="13" t="s">
        <v>9</v>
      </c>
      <c r="E1048576" s="18">
        <v>1000</v>
      </c>
    </row>
  </sheetData>
  <autoFilter ref="A2:E44" xr:uid="{00000000-0009-0000-0000-000001000000}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6"/>
  <sheetViews>
    <sheetView workbookViewId="0">
      <selection activeCell="B37" sqref="B37"/>
    </sheetView>
  </sheetViews>
  <sheetFormatPr defaultRowHeight="15" x14ac:dyDescent="0.25"/>
  <cols>
    <col min="1" max="1" width="11.5703125" bestFit="1" customWidth="1"/>
    <col min="2" max="2" width="21.42578125" customWidth="1"/>
    <col min="3" max="3" width="19.28515625" customWidth="1"/>
    <col min="4" max="4" width="20" bestFit="1" customWidth="1"/>
    <col min="5" max="5" width="17.85546875" bestFit="1" customWidth="1"/>
  </cols>
  <sheetData>
    <row r="1" spans="1:5" ht="20.25" customHeight="1" x14ac:dyDescent="0.3">
      <c r="A1" s="30" t="s">
        <v>25</v>
      </c>
      <c r="B1" s="25"/>
      <c r="C1" s="25"/>
      <c r="D1" s="1"/>
      <c r="E1" s="2" t="s">
        <v>1</v>
      </c>
    </row>
    <row r="2" spans="1:5" x14ac:dyDescent="0.25">
      <c r="A2" s="6" t="s">
        <v>26</v>
      </c>
      <c r="B2" s="6" t="s">
        <v>27</v>
      </c>
      <c r="C2" s="6" t="s">
        <v>28</v>
      </c>
      <c r="D2" s="1"/>
      <c r="E2" s="17">
        <f>SUBTOTAL(9,C3:C3)</f>
        <v>0</v>
      </c>
    </row>
    <row r="3" spans="1:5" x14ac:dyDescent="0.25">
      <c r="A3" s="11"/>
      <c r="B3" s="12"/>
      <c r="C3" s="4"/>
      <c r="D3" s="1"/>
      <c r="E3" s="1"/>
    </row>
    <row r="4" spans="1:5" x14ac:dyDescent="0.25">
      <c r="A4" s="11"/>
      <c r="B4" s="12"/>
      <c r="C4" s="4"/>
      <c r="D4" s="1"/>
      <c r="E4" s="1"/>
    </row>
    <row r="5" spans="1:5" x14ac:dyDescent="0.25">
      <c r="A5" s="11"/>
      <c r="B5" s="12"/>
      <c r="C5" s="4"/>
      <c r="D5" s="1"/>
      <c r="E5" s="1"/>
    </row>
    <row r="6" spans="1:5" x14ac:dyDescent="0.25">
      <c r="A6" s="11"/>
      <c r="B6" s="12"/>
      <c r="C6" s="4"/>
      <c r="D6" s="1"/>
      <c r="E6" s="1"/>
    </row>
    <row r="7" spans="1:5" x14ac:dyDescent="0.25">
      <c r="A7" s="11"/>
      <c r="B7" s="12"/>
      <c r="C7" s="4"/>
      <c r="D7" s="1"/>
      <c r="E7" s="1"/>
    </row>
    <row r="8" spans="1:5" x14ac:dyDescent="0.25">
      <c r="A8" s="11"/>
      <c r="B8" s="12"/>
      <c r="C8" s="4"/>
      <c r="D8" s="1"/>
      <c r="E8" s="1"/>
    </row>
    <row r="9" spans="1:5" x14ac:dyDescent="0.25">
      <c r="A9" s="11"/>
      <c r="B9" s="12"/>
      <c r="C9" s="4"/>
      <c r="D9" s="1"/>
      <c r="E9" s="1"/>
    </row>
    <row r="10" spans="1:5" x14ac:dyDescent="0.25">
      <c r="A10" s="11"/>
      <c r="B10" s="12"/>
      <c r="C10" s="4"/>
      <c r="D10" s="1"/>
      <c r="E10" s="1"/>
    </row>
    <row r="11" spans="1:5" x14ac:dyDescent="0.25">
      <c r="A11" s="11"/>
      <c r="B11" s="12"/>
      <c r="C11" s="4"/>
      <c r="D11" s="1"/>
      <c r="E11" s="1"/>
    </row>
    <row r="12" spans="1:5" x14ac:dyDescent="0.25">
      <c r="A12" s="11"/>
      <c r="B12" s="12"/>
      <c r="C12" s="4"/>
      <c r="D12" s="1"/>
      <c r="E12" s="1"/>
    </row>
    <row r="13" spans="1:5" x14ac:dyDescent="0.25">
      <c r="A13" s="11"/>
      <c r="B13" s="12"/>
      <c r="C13" s="4"/>
      <c r="D13" s="1"/>
      <c r="E13" s="1"/>
    </row>
    <row r="14" spans="1:5" x14ac:dyDescent="0.25">
      <c r="A14" s="11"/>
      <c r="B14" s="12"/>
      <c r="C14" s="4"/>
      <c r="D14" s="1"/>
      <c r="E14" s="1"/>
    </row>
    <row r="15" spans="1:5" x14ac:dyDescent="0.25">
      <c r="A15" s="11"/>
      <c r="B15" s="12"/>
      <c r="C15" s="4"/>
      <c r="D15" s="1"/>
      <c r="E15" s="1"/>
    </row>
    <row r="16" spans="1:5" x14ac:dyDescent="0.25">
      <c r="A16" s="11"/>
      <c r="B16" s="12"/>
      <c r="C16" s="4"/>
      <c r="D16" s="1"/>
      <c r="E16" s="1"/>
    </row>
    <row r="17" spans="1:5" x14ac:dyDescent="0.25">
      <c r="A17" s="11"/>
      <c r="B17" s="12"/>
      <c r="C17" s="4"/>
      <c r="D17" s="1"/>
      <c r="E17" s="1"/>
    </row>
    <row r="18" spans="1:5" x14ac:dyDescent="0.25">
      <c r="A18" s="11"/>
      <c r="B18" s="12"/>
      <c r="C18" s="4"/>
      <c r="D18" s="1"/>
      <c r="E18" s="1"/>
    </row>
    <row r="19" spans="1:5" x14ac:dyDescent="0.25">
      <c r="A19" s="11"/>
      <c r="B19" s="12"/>
      <c r="C19" s="4"/>
      <c r="D19" s="1"/>
      <c r="E19" s="1"/>
    </row>
    <row r="20" spans="1:5" x14ac:dyDescent="0.25">
      <c r="A20" s="11"/>
      <c r="B20" s="12"/>
      <c r="C20" s="4"/>
      <c r="D20" s="1"/>
      <c r="E20" s="1"/>
    </row>
    <row r="21" spans="1:5" x14ac:dyDescent="0.25">
      <c r="A21" s="11"/>
      <c r="B21" s="12"/>
      <c r="C21" s="4"/>
      <c r="D21" s="1"/>
      <c r="E21" s="1"/>
    </row>
    <row r="22" spans="1:5" x14ac:dyDescent="0.25">
      <c r="A22" s="11"/>
      <c r="B22" s="12"/>
      <c r="C22" s="4"/>
      <c r="D22" s="1"/>
      <c r="E22" s="1"/>
    </row>
    <row r="23" spans="1:5" x14ac:dyDescent="0.25">
      <c r="A23" s="11"/>
      <c r="B23" s="12"/>
      <c r="C23" s="4"/>
      <c r="D23" s="1"/>
      <c r="E23" s="1"/>
    </row>
    <row r="24" spans="1:5" x14ac:dyDescent="0.25">
      <c r="A24" s="11"/>
      <c r="B24" s="12"/>
      <c r="C24" s="4"/>
      <c r="D24" s="1"/>
      <c r="E24" s="1"/>
    </row>
    <row r="25" spans="1:5" x14ac:dyDescent="0.25">
      <c r="A25" s="11"/>
      <c r="B25" s="12"/>
      <c r="C25" s="4"/>
      <c r="D25" s="1"/>
      <c r="E25" s="1"/>
    </row>
    <row r="26" spans="1:5" x14ac:dyDescent="0.25">
      <c r="A26" s="11"/>
      <c r="B26" s="12"/>
      <c r="C26" s="4"/>
      <c r="D26" s="1"/>
      <c r="E26" s="1"/>
    </row>
    <row r="27" spans="1:5" x14ac:dyDescent="0.25">
      <c r="A27" s="11"/>
      <c r="B27" s="12"/>
      <c r="C27" s="4"/>
      <c r="D27" s="1"/>
      <c r="E27" s="1"/>
    </row>
    <row r="28" spans="1:5" x14ac:dyDescent="0.25">
      <c r="A28" s="11"/>
      <c r="B28" s="12"/>
      <c r="C28" s="4"/>
      <c r="D28" s="1"/>
      <c r="E28" s="1"/>
    </row>
    <row r="29" spans="1:5" x14ac:dyDescent="0.25">
      <c r="A29" s="11"/>
      <c r="B29" s="12"/>
      <c r="C29" s="4"/>
      <c r="D29" s="1"/>
      <c r="E29" s="1"/>
    </row>
    <row r="30" spans="1:5" x14ac:dyDescent="0.25">
      <c r="A30" s="11"/>
      <c r="B30" s="12"/>
      <c r="C30" s="4"/>
      <c r="D30" s="1"/>
      <c r="E30" s="1"/>
    </row>
    <row r="31" spans="1:5" x14ac:dyDescent="0.25">
      <c r="A31" s="11"/>
      <c r="B31" s="12"/>
      <c r="C31" s="4"/>
    </row>
    <row r="32" spans="1:5" x14ac:dyDescent="0.25">
      <c r="A32" s="11"/>
      <c r="B32" s="12"/>
      <c r="C32" s="4"/>
    </row>
    <row r="33" spans="1:4" x14ac:dyDescent="0.25">
      <c r="A33" s="11"/>
      <c r="B33" s="12"/>
      <c r="C33" s="4"/>
      <c r="D33" s="7"/>
    </row>
    <row r="34" spans="1:4" x14ac:dyDescent="0.25">
      <c r="A34" s="11"/>
      <c r="B34" s="12"/>
      <c r="C34" s="4"/>
      <c r="D34" s="8"/>
    </row>
    <row r="35" spans="1:4" x14ac:dyDescent="0.25">
      <c r="A35" s="11"/>
      <c r="B35" s="12"/>
      <c r="C35" s="4"/>
    </row>
    <row r="36" spans="1:4" x14ac:dyDescent="0.25">
      <c r="A36" s="11"/>
      <c r="B36" s="12"/>
      <c r="C36" s="4"/>
    </row>
    <row r="37" spans="1:4" x14ac:dyDescent="0.25">
      <c r="A37" s="11"/>
      <c r="B37" s="12"/>
      <c r="C37" s="4"/>
    </row>
    <row r="38" spans="1:4" x14ac:dyDescent="0.25">
      <c r="A38" s="11"/>
      <c r="B38" s="12"/>
      <c r="C38" s="4"/>
    </row>
    <row r="39" spans="1:4" x14ac:dyDescent="0.25">
      <c r="A39" s="11"/>
      <c r="B39" s="12"/>
      <c r="C39" s="4"/>
    </row>
    <row r="40" spans="1:4" x14ac:dyDescent="0.25">
      <c r="A40" s="11"/>
      <c r="B40" s="12"/>
      <c r="C40" s="4"/>
    </row>
    <row r="41" spans="1:4" x14ac:dyDescent="0.25">
      <c r="A41" s="11"/>
      <c r="B41" s="12"/>
      <c r="C41" s="4"/>
    </row>
    <row r="42" spans="1:4" x14ac:dyDescent="0.25">
      <c r="A42" s="11"/>
      <c r="B42" s="12"/>
      <c r="C42" s="4"/>
    </row>
    <row r="43" spans="1:4" x14ac:dyDescent="0.25">
      <c r="A43" s="11"/>
      <c r="B43" s="12"/>
      <c r="C43" s="4"/>
    </row>
    <row r="44" spans="1:4" x14ac:dyDescent="0.25">
      <c r="A44" s="11"/>
      <c r="B44" s="12"/>
      <c r="C44" s="4"/>
    </row>
    <row r="45" spans="1:4" x14ac:dyDescent="0.25">
      <c r="A45" s="11"/>
      <c r="B45" s="12"/>
      <c r="C45" s="4"/>
    </row>
    <row r="46" spans="1:4" x14ac:dyDescent="0.25">
      <c r="A46" s="11"/>
      <c r="B46" s="12"/>
      <c r="C46" s="4"/>
    </row>
    <row r="47" spans="1:4" x14ac:dyDescent="0.25">
      <c r="A47" s="11"/>
      <c r="B47" s="12"/>
      <c r="C47" s="4"/>
    </row>
    <row r="48" spans="1:4" x14ac:dyDescent="0.25">
      <c r="A48" s="11"/>
      <c r="B48" s="12"/>
      <c r="C48" s="4"/>
    </row>
    <row r="49" spans="1:3" x14ac:dyDescent="0.25">
      <c r="A49" s="11"/>
      <c r="B49" s="12"/>
      <c r="C49" s="4"/>
    </row>
    <row r="50" spans="1:3" x14ac:dyDescent="0.25">
      <c r="A50" s="11"/>
      <c r="B50" s="12"/>
      <c r="C50" s="4"/>
    </row>
    <row r="51" spans="1:3" x14ac:dyDescent="0.25">
      <c r="A51" s="11"/>
      <c r="B51" s="12"/>
      <c r="C51" s="4"/>
    </row>
    <row r="52" spans="1:3" x14ac:dyDescent="0.25">
      <c r="A52" s="11"/>
      <c r="B52" s="12"/>
      <c r="C52" s="4"/>
    </row>
    <row r="53" spans="1:3" x14ac:dyDescent="0.25">
      <c r="A53" s="11"/>
      <c r="B53" s="12"/>
      <c r="C53" s="4"/>
    </row>
    <row r="54" spans="1:3" x14ac:dyDescent="0.25">
      <c r="A54" s="11"/>
      <c r="B54" s="12"/>
      <c r="C54" s="4"/>
    </row>
    <row r="55" spans="1:3" x14ac:dyDescent="0.25">
      <c r="A55" s="11"/>
      <c r="B55" s="12"/>
      <c r="C55" s="4"/>
    </row>
    <row r="56" spans="1:3" x14ac:dyDescent="0.25">
      <c r="A56" s="11"/>
      <c r="B56" s="12"/>
      <c r="C56" s="4"/>
    </row>
    <row r="57" spans="1:3" x14ac:dyDescent="0.25">
      <c r="A57" s="11"/>
      <c r="B57" s="12"/>
      <c r="C57" s="4"/>
    </row>
    <row r="58" spans="1:3" x14ac:dyDescent="0.25">
      <c r="A58" s="11"/>
      <c r="B58" s="12"/>
      <c r="C58" s="4"/>
    </row>
    <row r="59" spans="1:3" x14ac:dyDescent="0.25">
      <c r="A59" s="11"/>
      <c r="B59" s="12"/>
      <c r="C59" s="4"/>
    </row>
    <row r="60" spans="1:3" x14ac:dyDescent="0.25">
      <c r="A60" s="11"/>
      <c r="B60" s="12"/>
      <c r="C60" s="4"/>
    </row>
    <row r="61" spans="1:3" x14ac:dyDescent="0.25">
      <c r="A61" s="11"/>
      <c r="B61" s="12"/>
      <c r="C61" s="4"/>
    </row>
    <row r="62" spans="1:3" x14ac:dyDescent="0.25">
      <c r="A62" s="11"/>
      <c r="B62" s="12"/>
      <c r="C62" s="4"/>
    </row>
    <row r="63" spans="1:3" x14ac:dyDescent="0.25">
      <c r="A63" s="11"/>
      <c r="B63" s="12"/>
      <c r="C63" s="4"/>
    </row>
    <row r="64" spans="1:3" x14ac:dyDescent="0.25">
      <c r="A64" s="11"/>
      <c r="B64" s="12"/>
      <c r="C64" s="4"/>
    </row>
    <row r="65" spans="1:3" x14ac:dyDescent="0.25">
      <c r="A65" s="11"/>
      <c r="B65" s="12"/>
      <c r="C65" s="4"/>
    </row>
    <row r="66" spans="1:3" x14ac:dyDescent="0.25">
      <c r="A66" s="11"/>
      <c r="B66" s="12"/>
      <c r="C66" s="4"/>
    </row>
    <row r="67" spans="1:3" x14ac:dyDescent="0.25">
      <c r="A67" s="11"/>
      <c r="B67" s="12"/>
      <c r="C67" s="4"/>
    </row>
    <row r="68" spans="1:3" x14ac:dyDescent="0.25">
      <c r="A68" s="11"/>
      <c r="B68" s="12"/>
      <c r="C68" s="4"/>
    </row>
    <row r="69" spans="1:3" x14ac:dyDescent="0.25">
      <c r="A69" s="11"/>
      <c r="B69" s="12"/>
      <c r="C69" s="4"/>
    </row>
    <row r="70" spans="1:3" x14ac:dyDescent="0.25">
      <c r="A70" s="11"/>
      <c r="B70" s="12"/>
      <c r="C70" s="4"/>
    </row>
    <row r="71" spans="1:3" x14ac:dyDescent="0.25">
      <c r="A71" s="11"/>
      <c r="B71" s="12"/>
      <c r="C71" s="4"/>
    </row>
    <row r="72" spans="1:3" x14ac:dyDescent="0.25">
      <c r="A72" s="11"/>
      <c r="B72" s="12"/>
      <c r="C72" s="4"/>
    </row>
    <row r="73" spans="1:3" x14ac:dyDescent="0.25">
      <c r="A73" s="11"/>
      <c r="B73" s="12"/>
      <c r="C73" s="4"/>
    </row>
    <row r="74" spans="1:3" x14ac:dyDescent="0.25">
      <c r="A74" s="11"/>
      <c r="B74" s="12"/>
      <c r="C74" s="4"/>
    </row>
    <row r="75" spans="1:3" x14ac:dyDescent="0.25">
      <c r="A75" s="11"/>
      <c r="B75" s="12"/>
      <c r="C75" s="4"/>
    </row>
    <row r="76" spans="1:3" x14ac:dyDescent="0.25">
      <c r="A76" s="11"/>
      <c r="B76" s="12"/>
      <c r="C76" s="4"/>
    </row>
    <row r="77" spans="1:3" x14ac:dyDescent="0.25">
      <c r="A77" s="11"/>
      <c r="B77" s="12"/>
      <c r="C77" s="4"/>
    </row>
    <row r="78" spans="1:3" x14ac:dyDescent="0.25">
      <c r="A78" s="11"/>
      <c r="B78" s="12"/>
      <c r="C78" s="4"/>
    </row>
    <row r="79" spans="1:3" x14ac:dyDescent="0.25">
      <c r="A79" s="11"/>
      <c r="B79" s="12"/>
      <c r="C79" s="4"/>
    </row>
    <row r="80" spans="1:3" x14ac:dyDescent="0.25">
      <c r="A80" s="11"/>
      <c r="B80" s="12"/>
      <c r="C80" s="4"/>
    </row>
    <row r="81" spans="1:3" x14ac:dyDescent="0.25">
      <c r="A81" s="11"/>
      <c r="B81" s="12"/>
      <c r="C81" s="4"/>
    </row>
    <row r="82" spans="1:3" x14ac:dyDescent="0.25">
      <c r="A82" s="11"/>
      <c r="B82" s="12"/>
      <c r="C82" s="4"/>
    </row>
    <row r="83" spans="1:3" x14ac:dyDescent="0.25">
      <c r="A83" s="11"/>
      <c r="B83" s="12"/>
      <c r="C83" s="4"/>
    </row>
    <row r="84" spans="1:3" x14ac:dyDescent="0.25">
      <c r="A84" s="11"/>
      <c r="B84" s="12"/>
      <c r="C84" s="4"/>
    </row>
    <row r="85" spans="1:3" x14ac:dyDescent="0.25">
      <c r="A85" s="11"/>
      <c r="B85" s="12"/>
      <c r="C85" s="4"/>
    </row>
    <row r="86" spans="1:3" x14ac:dyDescent="0.25">
      <c r="A86" s="11"/>
      <c r="B86" s="12"/>
      <c r="C86" s="4"/>
    </row>
    <row r="87" spans="1:3" x14ac:dyDescent="0.25">
      <c r="A87" s="11"/>
      <c r="B87" s="12"/>
      <c r="C87" s="4"/>
    </row>
    <row r="88" spans="1:3" x14ac:dyDescent="0.25">
      <c r="A88" s="11"/>
      <c r="B88" s="12"/>
      <c r="C88" s="4"/>
    </row>
    <row r="89" spans="1:3" x14ac:dyDescent="0.25">
      <c r="A89" s="11"/>
      <c r="B89" s="12"/>
      <c r="C89" s="4"/>
    </row>
    <row r="90" spans="1:3" x14ac:dyDescent="0.25">
      <c r="A90" s="11"/>
      <c r="B90" s="12"/>
      <c r="C90" s="4"/>
    </row>
    <row r="91" spans="1:3" x14ac:dyDescent="0.25">
      <c r="A91" s="11"/>
      <c r="B91" s="12"/>
      <c r="C91" s="4"/>
    </row>
    <row r="92" spans="1:3" x14ac:dyDescent="0.25">
      <c r="A92" s="11"/>
      <c r="B92" s="12"/>
      <c r="C92" s="4"/>
    </row>
    <row r="93" spans="1:3" x14ac:dyDescent="0.25">
      <c r="A93" s="11"/>
      <c r="B93" s="12"/>
      <c r="C93" s="4"/>
    </row>
    <row r="94" spans="1:3" x14ac:dyDescent="0.25">
      <c r="A94" s="11"/>
      <c r="B94" s="12"/>
      <c r="C94" s="4"/>
    </row>
    <row r="95" spans="1:3" x14ac:dyDescent="0.25">
      <c r="A95" s="11"/>
      <c r="B95" s="12"/>
      <c r="C95" s="4"/>
    </row>
    <row r="96" spans="1:3" x14ac:dyDescent="0.25">
      <c r="A96" s="11"/>
      <c r="B96" s="12"/>
      <c r="C96" s="4"/>
    </row>
    <row r="97" spans="1:3" x14ac:dyDescent="0.25">
      <c r="A97" s="11"/>
      <c r="B97" s="12"/>
      <c r="C97" s="4"/>
    </row>
    <row r="98" spans="1:3" x14ac:dyDescent="0.25">
      <c r="A98" s="11"/>
      <c r="B98" s="12"/>
      <c r="C98" s="4"/>
    </row>
    <row r="99" spans="1:3" x14ac:dyDescent="0.25">
      <c r="A99" s="11"/>
      <c r="B99" s="12"/>
      <c r="C99" s="4"/>
    </row>
    <row r="100" spans="1:3" x14ac:dyDescent="0.25">
      <c r="A100" s="11"/>
      <c r="B100" s="12"/>
      <c r="C100" s="4"/>
    </row>
    <row r="101" spans="1:3" x14ac:dyDescent="0.25">
      <c r="A101" s="11"/>
      <c r="B101" s="12"/>
      <c r="C101" s="4"/>
    </row>
    <row r="102" spans="1:3" x14ac:dyDescent="0.25">
      <c r="A102" s="11"/>
      <c r="B102" s="12"/>
      <c r="C102" s="4"/>
    </row>
    <row r="103" spans="1:3" x14ac:dyDescent="0.25">
      <c r="A103" s="11"/>
      <c r="B103" s="12"/>
      <c r="C103" s="4"/>
    </row>
    <row r="104" spans="1:3" x14ac:dyDescent="0.25">
      <c r="A104" s="11"/>
      <c r="B104" s="12"/>
      <c r="C104" s="4"/>
    </row>
    <row r="105" spans="1:3" x14ac:dyDescent="0.25">
      <c r="A105" s="11"/>
      <c r="B105" s="12"/>
      <c r="C105" s="4"/>
    </row>
    <row r="106" spans="1:3" x14ac:dyDescent="0.25">
      <c r="A106" s="11"/>
      <c r="B106" s="12"/>
      <c r="C106" s="4"/>
    </row>
    <row r="107" spans="1:3" x14ac:dyDescent="0.25">
      <c r="A107" s="11"/>
      <c r="B107" s="12"/>
      <c r="C107" s="4"/>
    </row>
    <row r="108" spans="1:3" x14ac:dyDescent="0.25">
      <c r="A108" s="11"/>
      <c r="B108" s="12"/>
      <c r="C108" s="4"/>
    </row>
    <row r="109" spans="1:3" x14ac:dyDescent="0.25">
      <c r="A109" s="11"/>
      <c r="B109" s="12"/>
      <c r="C109" s="4"/>
    </row>
    <row r="110" spans="1:3" x14ac:dyDescent="0.25">
      <c r="A110" s="11"/>
      <c r="B110" s="12"/>
      <c r="C110" s="4"/>
    </row>
    <row r="111" spans="1:3" x14ac:dyDescent="0.25">
      <c r="A111" s="11"/>
      <c r="B111" s="12"/>
      <c r="C111" s="4"/>
    </row>
    <row r="112" spans="1:3" x14ac:dyDescent="0.25">
      <c r="A112" s="11"/>
      <c r="B112" s="12"/>
      <c r="C112" s="4"/>
    </row>
    <row r="113" spans="1:3" x14ac:dyDescent="0.25">
      <c r="A113" s="11"/>
      <c r="B113" s="12"/>
      <c r="C113" s="4"/>
    </row>
    <row r="114" spans="1:3" x14ac:dyDescent="0.25">
      <c r="A114" s="11"/>
      <c r="B114" s="12"/>
      <c r="C114" s="4"/>
    </row>
    <row r="115" spans="1:3" x14ac:dyDescent="0.25">
      <c r="A115" s="11"/>
      <c r="B115" s="12"/>
      <c r="C115" s="4"/>
    </row>
    <row r="116" spans="1:3" x14ac:dyDescent="0.25">
      <c r="A116" s="11"/>
      <c r="B116" s="12"/>
      <c r="C116" s="4"/>
    </row>
    <row r="117" spans="1:3" x14ac:dyDescent="0.25">
      <c r="A117" s="11"/>
      <c r="B117" s="12"/>
      <c r="C117" s="4"/>
    </row>
    <row r="118" spans="1:3" x14ac:dyDescent="0.25">
      <c r="A118" s="11"/>
      <c r="B118" s="12"/>
      <c r="C118" s="4"/>
    </row>
    <row r="119" spans="1:3" x14ac:dyDescent="0.25">
      <c r="A119" s="11"/>
      <c r="B119" s="12"/>
      <c r="C119" s="4"/>
    </row>
    <row r="120" spans="1:3" x14ac:dyDescent="0.25">
      <c r="A120" s="11"/>
      <c r="B120" s="12"/>
      <c r="C120" s="4"/>
    </row>
    <row r="121" spans="1:3" x14ac:dyDescent="0.25">
      <c r="A121" s="11"/>
      <c r="B121" s="12"/>
      <c r="C121" s="4"/>
    </row>
    <row r="122" spans="1:3" x14ac:dyDescent="0.25">
      <c r="A122" s="11"/>
      <c r="B122" s="12"/>
      <c r="C122" s="4"/>
    </row>
    <row r="123" spans="1:3" x14ac:dyDescent="0.25">
      <c r="A123" s="11"/>
      <c r="B123" s="12"/>
      <c r="C123" s="4"/>
    </row>
    <row r="124" spans="1:3" x14ac:dyDescent="0.25">
      <c r="A124" s="11"/>
      <c r="B124" s="12"/>
      <c r="C124" s="4"/>
    </row>
    <row r="125" spans="1:3" x14ac:dyDescent="0.25">
      <c r="A125" s="11"/>
      <c r="B125" s="12"/>
      <c r="C125" s="4"/>
    </row>
    <row r="126" spans="1:3" x14ac:dyDescent="0.25">
      <c r="A126" s="11"/>
      <c r="B126" s="12"/>
      <c r="C126" s="4"/>
    </row>
    <row r="127" spans="1:3" x14ac:dyDescent="0.25">
      <c r="A127" s="11"/>
      <c r="B127" s="12"/>
      <c r="C127" s="4"/>
    </row>
    <row r="128" spans="1:3" x14ac:dyDescent="0.25">
      <c r="A128" s="11"/>
      <c r="B128" s="12"/>
      <c r="C128" s="4"/>
    </row>
    <row r="129" spans="1:3" x14ac:dyDescent="0.25">
      <c r="A129" s="11"/>
      <c r="B129" s="12"/>
      <c r="C129" s="4"/>
    </row>
    <row r="130" spans="1:3" x14ac:dyDescent="0.25">
      <c r="A130" s="11"/>
      <c r="B130" s="12"/>
      <c r="C130" s="4"/>
    </row>
    <row r="131" spans="1:3" x14ac:dyDescent="0.25">
      <c r="A131" s="11"/>
      <c r="B131" s="12"/>
      <c r="C131" s="4"/>
    </row>
    <row r="132" spans="1:3" x14ac:dyDescent="0.25">
      <c r="A132" s="11"/>
      <c r="B132" s="12"/>
      <c r="C132" s="4"/>
    </row>
    <row r="133" spans="1:3" x14ac:dyDescent="0.25">
      <c r="A133" s="11"/>
      <c r="B133" s="12"/>
      <c r="C133" s="4"/>
    </row>
    <row r="134" spans="1:3" x14ac:dyDescent="0.25">
      <c r="A134" s="11"/>
      <c r="B134" s="12"/>
      <c r="C134" s="4"/>
    </row>
    <row r="135" spans="1:3" x14ac:dyDescent="0.25">
      <c r="A135" s="11"/>
      <c r="B135" s="12"/>
      <c r="C135" s="4"/>
    </row>
    <row r="136" spans="1:3" x14ac:dyDescent="0.25">
      <c r="A136" s="11"/>
      <c r="B136" s="12"/>
      <c r="C136" s="4"/>
    </row>
  </sheetData>
  <autoFilter ref="A2:C136" xr:uid="{00000000-0009-0000-0000-000002000000}"/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tabSelected="1" workbookViewId="0">
      <selection activeCell="E16" sqref="E16"/>
    </sheetView>
  </sheetViews>
  <sheetFormatPr defaultRowHeight="15" x14ac:dyDescent="0.25"/>
  <cols>
    <col min="1" max="1" width="22.85546875" bestFit="1" customWidth="1"/>
    <col min="2" max="2" width="28.28515625" bestFit="1" customWidth="1"/>
    <col min="3" max="3" width="22.85546875" customWidth="1"/>
    <col min="4" max="4" width="34.28515625" bestFit="1" customWidth="1"/>
    <col min="5" max="5" width="22.85546875" bestFit="1" customWidth="1"/>
    <col min="6" max="6" width="17.7109375" bestFit="1" customWidth="1"/>
    <col min="7" max="7" width="12.85546875" bestFit="1" customWidth="1"/>
  </cols>
  <sheetData>
    <row r="1" spans="1:6" ht="23.25" customHeight="1" x14ac:dyDescent="0.35">
      <c r="A1" s="24" t="s">
        <v>29</v>
      </c>
      <c r="B1" s="25"/>
      <c r="C1" s="25"/>
      <c r="D1" s="25"/>
      <c r="E1" s="25"/>
      <c r="F1" s="25"/>
    </row>
    <row r="2" spans="1:6" s="9" customFormat="1" ht="15.75" customHeight="1" x14ac:dyDescent="0.25">
      <c r="A2" s="10" t="s">
        <v>30</v>
      </c>
      <c r="B2" s="10" t="s">
        <v>20</v>
      </c>
      <c r="C2" s="10" t="s">
        <v>17</v>
      </c>
      <c r="D2" s="10" t="s">
        <v>31</v>
      </c>
      <c r="E2" s="10" t="s">
        <v>32</v>
      </c>
      <c r="F2" s="10" t="s">
        <v>33</v>
      </c>
    </row>
    <row r="3" spans="1:6" ht="15.75" customHeight="1" x14ac:dyDescent="0.25">
      <c r="A3" s="21">
        <f>'TOTAL DE VENDAS DE 2026'!J2</f>
        <v>0</v>
      </c>
      <c r="B3" s="21">
        <f>SUM('TOTAL DE VENDAS DE 2026'!J5)</f>
        <v>0</v>
      </c>
      <c r="C3" s="21">
        <f>SUM('TOTAL DE VENDAS DE 2026'!J8)</f>
        <v>0</v>
      </c>
      <c r="D3" s="22">
        <f>'Compras Matéria-Prima'!G2</f>
        <v>0</v>
      </c>
      <c r="E3" s="22">
        <f>'Gastos Fixos'!E2</f>
        <v>0</v>
      </c>
      <c r="F3" s="23">
        <f>A3-D3-E3</f>
        <v>0</v>
      </c>
    </row>
  </sheetData>
  <autoFilter ref="A2:F2" xr:uid="{00000000-0009-0000-0000-000003000000}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/>
  </sheetViews>
  <sheetFormatPr defaultRowHeight="15" x14ac:dyDescent="0.25"/>
  <cols>
    <col min="1" max="1" width="11" bestFit="1" customWidth="1"/>
    <col min="2" max="2" width="29" customWidth="1"/>
    <col min="3" max="5" width="30.7109375" customWidth="1"/>
    <col min="6" max="6" width="19.28515625" customWidth="1"/>
    <col min="7" max="7" width="19" bestFit="1" customWidth="1"/>
    <col min="8" max="8" width="12.42578125" bestFit="1" customWidth="1"/>
    <col min="9" max="9" width="31.28515625" bestFit="1" customWidth="1"/>
  </cols>
  <sheetData>
    <row r="1" spans="1:10" ht="26.25" customHeight="1" x14ac:dyDescent="0.4">
      <c r="A1" s="26" t="s">
        <v>10</v>
      </c>
      <c r="B1" s="27"/>
      <c r="C1" s="27"/>
      <c r="D1" s="27"/>
      <c r="E1" s="27"/>
      <c r="F1" s="27"/>
      <c r="G1" s="28"/>
      <c r="H1" s="1"/>
      <c r="I1" s="2" t="s">
        <v>11</v>
      </c>
    </row>
    <row r="2" spans="1:10" x14ac:dyDescent="0.25">
      <c r="A2" s="3" t="s">
        <v>2</v>
      </c>
      <c r="B2" s="3" t="s">
        <v>34</v>
      </c>
      <c r="C2" s="3" t="s">
        <v>15</v>
      </c>
      <c r="D2" s="3" t="s">
        <v>16</v>
      </c>
      <c r="E2" s="3" t="s">
        <v>17</v>
      </c>
      <c r="F2" s="3" t="s">
        <v>5</v>
      </c>
      <c r="G2" s="3" t="s">
        <v>18</v>
      </c>
      <c r="H2" s="1" t="s">
        <v>19</v>
      </c>
      <c r="I2" s="5">
        <f t="array" ref="I2">SUM(D3:D1048575+E3:E1048575)</f>
        <v>0</v>
      </c>
    </row>
    <row r="3" spans="1:10" x14ac:dyDescent="0.25">
      <c r="A3" s="14"/>
      <c r="B3" s="15"/>
      <c r="C3" s="14"/>
      <c r="D3" s="14"/>
      <c r="E3" s="18"/>
      <c r="F3" s="19"/>
      <c r="G3" s="14"/>
      <c r="H3" s="14"/>
      <c r="I3" s="15"/>
      <c r="J3" s="15"/>
    </row>
    <row r="4" spans="1:10" ht="18" customHeight="1" x14ac:dyDescent="0.25">
      <c r="H4" s="1"/>
      <c r="I4" s="2"/>
    </row>
    <row r="5" spans="1:10" x14ac:dyDescent="0.25">
      <c r="H5" s="1"/>
      <c r="I5" s="5"/>
    </row>
    <row r="6" spans="1:10" x14ac:dyDescent="0.25">
      <c r="H6" s="1"/>
      <c r="I6" s="1"/>
    </row>
    <row r="7" spans="1:10" ht="18" customHeight="1" x14ac:dyDescent="0.25">
      <c r="H7" s="1"/>
      <c r="I7" s="2"/>
    </row>
    <row r="8" spans="1:10" x14ac:dyDescent="0.25">
      <c r="H8" s="1"/>
      <c r="I8" s="5"/>
    </row>
    <row r="9" spans="1:10" x14ac:dyDescent="0.25">
      <c r="H9" s="1"/>
      <c r="I9" s="1"/>
    </row>
    <row r="10" spans="1:10" x14ac:dyDescent="0.25">
      <c r="H10" s="1"/>
      <c r="I10" s="1"/>
    </row>
    <row r="11" spans="1:10" x14ac:dyDescent="0.25">
      <c r="H11" s="1"/>
      <c r="I11" s="1"/>
    </row>
    <row r="12" spans="1:10" x14ac:dyDescent="0.25">
      <c r="H12" s="1"/>
      <c r="I12" s="1"/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"/>
  <sheetViews>
    <sheetView workbookViewId="0"/>
  </sheetViews>
  <sheetFormatPr defaultRowHeight="15" x14ac:dyDescent="0.25"/>
  <cols>
    <col min="1" max="1" width="11" bestFit="1" customWidth="1"/>
    <col min="2" max="2" width="35.28515625" customWidth="1"/>
    <col min="3" max="3" width="16.28515625" customWidth="1"/>
    <col min="4" max="4" width="13" customWidth="1"/>
    <col min="5" max="5" width="15.85546875" bestFit="1" customWidth="1"/>
    <col min="6" max="6" width="13" customWidth="1"/>
    <col min="7" max="7" width="17.85546875" bestFit="1" customWidth="1"/>
  </cols>
  <sheetData>
    <row r="1" spans="1:7" ht="20.25" customHeight="1" x14ac:dyDescent="0.3">
      <c r="A1" s="29" t="s">
        <v>0</v>
      </c>
      <c r="B1" s="27"/>
      <c r="C1" s="27"/>
      <c r="D1" s="27"/>
      <c r="E1" s="28"/>
      <c r="F1" s="1"/>
      <c r="G1" s="2" t="s">
        <v>1</v>
      </c>
    </row>
    <row r="2" spans="1:7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1"/>
      <c r="G2" s="20">
        <f>SUM(E3:E1048576)</f>
        <v>0</v>
      </c>
    </row>
    <row r="3" spans="1:7" x14ac:dyDescent="0.25">
      <c r="A3" s="14"/>
      <c r="B3" s="15"/>
      <c r="C3" s="14"/>
      <c r="D3" s="14"/>
      <c r="E3" s="18"/>
      <c r="F3" s="15"/>
      <c r="G3" s="15"/>
    </row>
    <row r="4" spans="1:7" x14ac:dyDescent="0.25">
      <c r="F4" s="1"/>
      <c r="G4" s="1"/>
    </row>
    <row r="5" spans="1:7" x14ac:dyDescent="0.25">
      <c r="F5" s="1"/>
      <c r="G5" s="1"/>
    </row>
    <row r="6" spans="1:7" x14ac:dyDescent="0.25">
      <c r="F6" s="1"/>
      <c r="G6" s="1"/>
    </row>
    <row r="7" spans="1:7" x14ac:dyDescent="0.25">
      <c r="F7" s="1"/>
      <c r="G7" s="1"/>
    </row>
    <row r="8" spans="1:7" x14ac:dyDescent="0.25">
      <c r="F8" s="1"/>
      <c r="G8" s="1"/>
    </row>
    <row r="9" spans="1:7" x14ac:dyDescent="0.25">
      <c r="F9" s="1"/>
      <c r="G9" s="1"/>
    </row>
    <row r="10" spans="1:7" x14ac:dyDescent="0.25">
      <c r="F10" s="1"/>
      <c r="G10" s="1"/>
    </row>
    <row r="11" spans="1:7" x14ac:dyDescent="0.25">
      <c r="F11" s="1"/>
      <c r="G11" s="1"/>
    </row>
    <row r="12" spans="1:7" x14ac:dyDescent="0.25">
      <c r="F12" s="1"/>
      <c r="G12" s="1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2"/>
  <sheetViews>
    <sheetView workbookViewId="0"/>
  </sheetViews>
  <sheetFormatPr defaultRowHeight="15" x14ac:dyDescent="0.25"/>
  <cols>
    <col min="1" max="1" width="11.5703125" bestFit="1" customWidth="1"/>
    <col min="2" max="2" width="21.42578125" customWidth="1"/>
    <col min="3" max="3" width="19.28515625" customWidth="1"/>
    <col min="4" max="4" width="20" bestFit="1" customWidth="1"/>
    <col min="5" max="5" width="17.85546875" bestFit="1" customWidth="1"/>
  </cols>
  <sheetData>
    <row r="1" spans="1:5" ht="20.25" customHeight="1" x14ac:dyDescent="0.3">
      <c r="A1" s="30" t="s">
        <v>25</v>
      </c>
      <c r="B1" s="25"/>
      <c r="C1" s="25"/>
      <c r="D1" s="1"/>
      <c r="E1" s="2" t="s">
        <v>1</v>
      </c>
    </row>
    <row r="2" spans="1:5" x14ac:dyDescent="0.25">
      <c r="A2" s="6" t="s">
        <v>26</v>
      </c>
      <c r="B2" s="6" t="s">
        <v>27</v>
      </c>
      <c r="C2" s="6" t="s">
        <v>28</v>
      </c>
      <c r="D2" s="1"/>
      <c r="E2" s="17">
        <f>SUBTOTAL(9,C3:C3)</f>
        <v>0</v>
      </c>
    </row>
    <row r="3" spans="1:5" x14ac:dyDescent="0.25">
      <c r="A3" s="11"/>
      <c r="B3" s="12"/>
      <c r="C3" s="4"/>
      <c r="D3" s="1"/>
      <c r="E3" s="1"/>
    </row>
    <row r="4" spans="1:5" x14ac:dyDescent="0.25">
      <c r="A4" s="11"/>
      <c r="B4" s="12"/>
      <c r="C4" s="4"/>
      <c r="D4" s="1"/>
      <c r="E4" s="1"/>
    </row>
    <row r="5" spans="1:5" x14ac:dyDescent="0.25">
      <c r="A5" s="11"/>
      <c r="B5" s="12"/>
      <c r="C5" s="4"/>
      <c r="D5" s="1"/>
      <c r="E5" s="1"/>
    </row>
    <row r="6" spans="1:5" x14ac:dyDescent="0.25">
      <c r="A6" s="11"/>
      <c r="B6" s="12"/>
      <c r="C6" s="4"/>
      <c r="D6" s="1"/>
      <c r="E6" s="1"/>
    </row>
    <row r="7" spans="1:5" x14ac:dyDescent="0.25">
      <c r="A7" s="11"/>
      <c r="B7" s="12"/>
      <c r="C7" s="4"/>
      <c r="D7" s="1"/>
      <c r="E7" s="1"/>
    </row>
    <row r="8" spans="1:5" x14ac:dyDescent="0.25">
      <c r="A8" s="11"/>
      <c r="B8" s="12"/>
      <c r="C8" s="4"/>
      <c r="D8" s="1"/>
      <c r="E8" s="1"/>
    </row>
    <row r="9" spans="1:5" x14ac:dyDescent="0.25">
      <c r="A9" s="11"/>
      <c r="B9" s="12"/>
      <c r="C9" s="4"/>
      <c r="D9" s="1"/>
      <c r="E9" s="1"/>
    </row>
    <row r="10" spans="1:5" x14ac:dyDescent="0.25">
      <c r="A10" s="11"/>
      <c r="B10" s="12"/>
      <c r="C10" s="4"/>
      <c r="D10" s="1"/>
      <c r="E10" s="1"/>
    </row>
    <row r="11" spans="1:5" x14ac:dyDescent="0.25">
      <c r="A11" s="11"/>
      <c r="B11" s="12"/>
      <c r="C11" s="4"/>
      <c r="D11" s="1"/>
      <c r="E11" s="1"/>
    </row>
    <row r="12" spans="1:5" x14ac:dyDescent="0.25">
      <c r="A12" s="11"/>
      <c r="B12" s="12"/>
      <c r="C12" s="4"/>
      <c r="D12" s="1"/>
      <c r="E12" s="1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TOTAL DE VENDAS DE 2026</vt:lpstr>
      <vt:lpstr>Compras Matéria-Prima</vt:lpstr>
      <vt:lpstr>Gastos Fixos</vt:lpstr>
      <vt:lpstr>Lucro Mensal e Anual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Gabriel</cp:lastModifiedBy>
  <dcterms:created xsi:type="dcterms:W3CDTF">2026-01-10T14:20:31Z</dcterms:created>
  <dcterms:modified xsi:type="dcterms:W3CDTF">2026-07-09T20:46:40Z</dcterms:modified>
</cp:coreProperties>
</file>